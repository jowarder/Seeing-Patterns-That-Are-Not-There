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afin\Desktop\Dr Curry Research\paper_writing\Revised Experiment-paper\revised_sequence\seeing-patterns-trb2027-artifacts\"/>
    </mc:Choice>
  </mc:AlternateContent>
  <bookViews>
    <workbookView xWindow="0" yWindow="0" windowWidth="19200" windowHeight="8130" tabRatio="500" activeTab="3"/>
  </bookViews>
  <sheets>
    <sheet name="All Models" sheetId="1" r:id="rId1"/>
    <sheet name="Comparison Summary" sheetId="2" r:id="rId2"/>
    <sheet name="Charts" sheetId="3" r:id="rId3"/>
    <sheet name="Instructions" sheetId="4" r:id="rId4"/>
  </sheet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9" i="3" l="1"/>
  <c r="C9" i="3"/>
  <c r="B9" i="3"/>
  <c r="D8" i="3"/>
  <c r="C8" i="3"/>
  <c r="B8" i="3"/>
  <c r="D7" i="3"/>
  <c r="C7" i="3"/>
  <c r="B7" i="3"/>
  <c r="D6" i="3"/>
  <c r="C6" i="3"/>
  <c r="B6" i="3"/>
  <c r="D5" i="3"/>
  <c r="C5" i="3"/>
  <c r="B5" i="3"/>
  <c r="D4" i="3"/>
  <c r="C4" i="3"/>
  <c r="B4" i="3"/>
  <c r="F15" i="2"/>
  <c r="D15" i="2"/>
  <c r="B15" i="2"/>
  <c r="F13" i="2"/>
  <c r="D13" i="2"/>
  <c r="E13" i="2" s="1"/>
  <c r="B13" i="2"/>
  <c r="C13" i="2" s="1"/>
  <c r="F9" i="2"/>
  <c r="G9" i="2" s="1"/>
  <c r="D9" i="2"/>
  <c r="E9" i="2" s="1"/>
  <c r="B9" i="2"/>
  <c r="F8" i="2"/>
  <c r="G8" i="2" s="1"/>
  <c r="D8" i="2"/>
  <c r="E8" i="2" s="1"/>
  <c r="B8" i="2"/>
  <c r="F7" i="2"/>
  <c r="G7" i="2" s="1"/>
  <c r="D7" i="2"/>
  <c r="E7" i="2" s="1"/>
  <c r="B7" i="2"/>
  <c r="F6" i="2"/>
  <c r="G6" i="2" s="1"/>
  <c r="D6" i="2"/>
  <c r="E6" i="2" s="1"/>
  <c r="B6" i="2"/>
  <c r="C6" i="2" s="1"/>
  <c r="F5" i="2"/>
  <c r="G5" i="2" s="1"/>
  <c r="D5" i="2"/>
  <c r="E5" i="2" s="1"/>
  <c r="B5" i="2"/>
  <c r="C5" i="2" s="1"/>
  <c r="F4" i="2"/>
  <c r="G4" i="2" s="1"/>
  <c r="D4" i="2"/>
  <c r="E4" i="2" s="1"/>
  <c r="B4" i="2"/>
  <c r="P92" i="1"/>
  <c r="O92" i="1"/>
  <c r="P91" i="1"/>
  <c r="O91" i="1"/>
  <c r="P90" i="1"/>
  <c r="O90" i="1"/>
  <c r="P89" i="1"/>
  <c r="O89" i="1"/>
  <c r="P88" i="1"/>
  <c r="O88" i="1"/>
  <c r="P87" i="1"/>
  <c r="O87" i="1"/>
  <c r="P86" i="1"/>
  <c r="O86" i="1"/>
  <c r="P85" i="1"/>
  <c r="O85" i="1"/>
  <c r="P84" i="1"/>
  <c r="O84" i="1"/>
  <c r="P83" i="1"/>
  <c r="O83" i="1"/>
  <c r="P82" i="1"/>
  <c r="O82" i="1"/>
  <c r="P81" i="1"/>
  <c r="O81" i="1"/>
  <c r="P80" i="1"/>
  <c r="O80" i="1"/>
  <c r="P79" i="1"/>
  <c r="O79" i="1"/>
  <c r="P78" i="1"/>
  <c r="O78" i="1"/>
  <c r="P77" i="1"/>
  <c r="O77" i="1"/>
  <c r="P76" i="1"/>
  <c r="O76" i="1"/>
  <c r="P75" i="1"/>
  <c r="O75" i="1"/>
  <c r="P74" i="1"/>
  <c r="O74" i="1"/>
  <c r="P73" i="1"/>
  <c r="O73" i="1"/>
  <c r="P72" i="1"/>
  <c r="O72" i="1"/>
  <c r="P71" i="1"/>
  <c r="O71" i="1"/>
  <c r="P70" i="1"/>
  <c r="O70" i="1"/>
  <c r="P69" i="1"/>
  <c r="O69" i="1"/>
  <c r="P68" i="1"/>
  <c r="O68" i="1"/>
  <c r="P67" i="1"/>
  <c r="O67" i="1"/>
  <c r="P66" i="1"/>
  <c r="O66" i="1"/>
  <c r="P65" i="1"/>
  <c r="O65" i="1"/>
  <c r="P64" i="1"/>
  <c r="O64" i="1"/>
  <c r="P63" i="1"/>
  <c r="O63" i="1"/>
  <c r="P62" i="1"/>
  <c r="O62" i="1"/>
  <c r="P61" i="1"/>
  <c r="O61" i="1"/>
  <c r="P60" i="1"/>
  <c r="O60" i="1"/>
  <c r="P59" i="1"/>
  <c r="O59" i="1"/>
  <c r="P58" i="1"/>
  <c r="O58" i="1"/>
  <c r="P57" i="1"/>
  <c r="O57" i="1"/>
  <c r="P56" i="1"/>
  <c r="O56" i="1"/>
  <c r="P55" i="1"/>
  <c r="O55" i="1"/>
  <c r="P54" i="1"/>
  <c r="O54" i="1"/>
  <c r="P53" i="1"/>
  <c r="O53" i="1"/>
  <c r="P52" i="1"/>
  <c r="O52" i="1"/>
  <c r="P51" i="1"/>
  <c r="O51" i="1"/>
  <c r="P50" i="1"/>
  <c r="O50" i="1"/>
  <c r="P49" i="1"/>
  <c r="O49" i="1"/>
  <c r="P48" i="1"/>
  <c r="O48" i="1"/>
  <c r="P47" i="1"/>
  <c r="O47" i="1"/>
  <c r="P46" i="1"/>
  <c r="O46" i="1"/>
  <c r="P45" i="1"/>
  <c r="O45" i="1"/>
  <c r="P44" i="1"/>
  <c r="O44" i="1"/>
  <c r="P43" i="1"/>
  <c r="O43" i="1"/>
  <c r="P42" i="1"/>
  <c r="O42" i="1"/>
  <c r="P41" i="1"/>
  <c r="O41" i="1"/>
  <c r="P40" i="1"/>
  <c r="O40" i="1"/>
  <c r="P39" i="1"/>
  <c r="O39" i="1"/>
  <c r="P38" i="1"/>
  <c r="O38" i="1"/>
  <c r="P37" i="1"/>
  <c r="O37" i="1"/>
  <c r="P36" i="1"/>
  <c r="O36" i="1"/>
  <c r="P35" i="1"/>
  <c r="O35" i="1"/>
  <c r="P34" i="1"/>
  <c r="O34" i="1"/>
  <c r="P33" i="1"/>
  <c r="Q33" i="1" s="1"/>
  <c r="O33" i="1"/>
  <c r="P32" i="1"/>
  <c r="O32" i="1"/>
  <c r="P31" i="1"/>
  <c r="O31" i="1"/>
  <c r="P30" i="1"/>
  <c r="O30" i="1"/>
  <c r="P29" i="1"/>
  <c r="O29" i="1"/>
  <c r="P28" i="1"/>
  <c r="O28" i="1"/>
  <c r="P27" i="1"/>
  <c r="O27" i="1"/>
  <c r="P26" i="1"/>
  <c r="O26" i="1"/>
  <c r="P25" i="1"/>
  <c r="O25" i="1"/>
  <c r="P24" i="1"/>
  <c r="O24" i="1"/>
  <c r="P23" i="1"/>
  <c r="O23" i="1"/>
  <c r="P22" i="1"/>
  <c r="O22" i="1"/>
  <c r="P21" i="1"/>
  <c r="O21" i="1"/>
  <c r="P20" i="1"/>
  <c r="O20" i="1"/>
  <c r="P19" i="1"/>
  <c r="O19" i="1"/>
  <c r="P18" i="1"/>
  <c r="O18" i="1"/>
  <c r="P17" i="1"/>
  <c r="O17" i="1"/>
  <c r="P16" i="1"/>
  <c r="O16" i="1"/>
  <c r="P15" i="1"/>
  <c r="O15" i="1"/>
  <c r="P14" i="1"/>
  <c r="O14" i="1"/>
  <c r="P13" i="1"/>
  <c r="O13" i="1"/>
  <c r="P12" i="1"/>
  <c r="O12" i="1"/>
  <c r="P11" i="1"/>
  <c r="O11" i="1"/>
  <c r="P10" i="1"/>
  <c r="O10" i="1"/>
  <c r="P9" i="1"/>
  <c r="O9" i="1"/>
  <c r="P8" i="1"/>
  <c r="O8" i="1"/>
  <c r="P7" i="1"/>
  <c r="O7" i="1"/>
  <c r="Q7" i="1" s="1"/>
  <c r="P6" i="1"/>
  <c r="O6" i="1"/>
  <c r="Q6" i="1" s="1"/>
  <c r="P5" i="1"/>
  <c r="O5" i="1"/>
  <c r="Q5" i="1" s="1"/>
  <c r="P4" i="1"/>
  <c r="Q4" i="1" s="1"/>
  <c r="O4" i="1"/>
  <c r="P3" i="1"/>
  <c r="O3" i="1"/>
  <c r="D14" i="2" l="1"/>
  <c r="Q63" i="1"/>
  <c r="Q62" i="1"/>
  <c r="Q61" i="1"/>
  <c r="Q60" i="1"/>
  <c r="Q59" i="1"/>
  <c r="Q58" i="1"/>
  <c r="Q92" i="1"/>
  <c r="B14" i="2"/>
  <c r="Q32" i="1"/>
  <c r="Q31" i="1"/>
  <c r="Q30" i="1"/>
  <c r="Q29" i="1"/>
  <c r="Q28" i="1"/>
  <c r="Q91" i="1"/>
  <c r="Q90" i="1"/>
  <c r="Q89" i="1"/>
  <c r="Q88" i="1"/>
  <c r="Q87" i="1"/>
  <c r="Q86" i="1"/>
  <c r="Q85" i="1"/>
  <c r="Q84" i="1"/>
  <c r="Q83" i="1"/>
  <c r="Q82" i="1"/>
  <c r="Q81" i="1"/>
  <c r="Q80" i="1"/>
  <c r="Q79" i="1"/>
  <c r="Q78" i="1"/>
  <c r="Q77" i="1"/>
  <c r="Q76" i="1"/>
  <c r="Q57" i="1"/>
  <c r="Q56" i="1"/>
  <c r="Q55" i="1"/>
  <c r="Q54" i="1"/>
  <c r="Q53" i="1"/>
  <c r="Q52" i="1"/>
  <c r="Q51" i="1"/>
  <c r="Q27" i="1"/>
  <c r="Q26" i="1"/>
  <c r="Q25" i="1"/>
  <c r="Q24" i="1"/>
  <c r="Q23" i="1"/>
  <c r="Q75" i="1"/>
  <c r="Q74" i="1"/>
  <c r="Q73" i="1"/>
  <c r="Q72" i="1"/>
  <c r="Q71" i="1"/>
  <c r="Q70" i="1"/>
  <c r="Q69" i="1"/>
  <c r="Q50" i="1"/>
  <c r="Q49" i="1"/>
  <c r="Q48" i="1"/>
  <c r="Q47" i="1"/>
  <c r="Q46" i="1"/>
  <c r="Q45" i="1"/>
  <c r="Q44" i="1"/>
  <c r="Q43" i="1"/>
  <c r="Q42" i="1"/>
  <c r="Q41" i="1"/>
  <c r="Q40" i="1"/>
  <c r="Q39" i="1"/>
  <c r="Q38" i="1"/>
  <c r="Q22" i="1"/>
  <c r="Q21" i="1"/>
  <c r="Q20" i="1"/>
  <c r="Q19" i="1"/>
  <c r="Q18" i="1"/>
  <c r="Q17" i="1"/>
  <c r="Q16" i="1"/>
  <c r="Q15" i="1"/>
  <c r="Q14" i="1"/>
  <c r="Q13" i="1"/>
  <c r="Q12" i="1"/>
  <c r="Q11" i="1"/>
  <c r="Q10" i="1"/>
  <c r="Q9" i="1"/>
  <c r="B12" i="2"/>
  <c r="Q8" i="1"/>
  <c r="Q68" i="1"/>
  <c r="Q67" i="1"/>
  <c r="Q66" i="1"/>
  <c r="Q65" i="1"/>
  <c r="F12" i="2"/>
  <c r="Q64" i="1"/>
  <c r="Q37" i="1"/>
  <c r="Q36" i="1"/>
  <c r="H7" i="2"/>
  <c r="D12" i="2"/>
  <c r="Q35" i="1"/>
  <c r="Q34" i="1"/>
  <c r="H9" i="2"/>
  <c r="H8" i="2"/>
  <c r="H6" i="2"/>
  <c r="H5" i="2"/>
  <c r="H15" i="2"/>
  <c r="H4" i="2"/>
  <c r="H13" i="2"/>
  <c r="C4" i="2"/>
  <c r="C8" i="2"/>
  <c r="Q3" i="1"/>
  <c r="F14" i="2"/>
  <c r="C7" i="2"/>
  <c r="C9" i="2"/>
  <c r="G13" i="2"/>
  <c r="H14" i="2" l="1"/>
  <c r="D11" i="2"/>
  <c r="D10" i="2"/>
  <c r="F11" i="2"/>
  <c r="H12" i="2"/>
  <c r="F10" i="2"/>
  <c r="B10" i="2"/>
  <c r="B11" i="2"/>
  <c r="H10" i="2" l="1"/>
</calcChain>
</file>

<file path=xl/sharedStrings.xml><?xml version="1.0" encoding="utf-8"?>
<sst xmlns="http://schemas.openxmlformats.org/spreadsheetml/2006/main" count="1241" uniqueCount="606">
  <si>
    <t>Incident Pattern Analysis Tracker — All Models (30 Runs Each)</t>
  </si>
  <si>
    <t>Model</t>
  </si>
  <si>
    <t>Run #</t>
  </si>
  <si>
    <t>Hourly Trend?</t>
  </si>
  <si>
    <t>Hourly Details</t>
  </si>
  <si>
    <t>Daily Trend?</t>
  </si>
  <si>
    <t>Daily Details</t>
  </si>
  <si>
    <t>Weekly Cycle Trend?</t>
  </si>
  <si>
    <t>Weekly Details</t>
  </si>
  <si>
    <t>Monthly/Seasonal Trend?</t>
  </si>
  <si>
    <t>Monthly Details</t>
  </si>
  <si>
    <t>Spike/Cluster Pattern?</t>
  </si>
  <si>
    <t>Time Spike Details between date range</t>
  </si>
  <si>
    <t>Other Trends Found?</t>
  </si>
  <si>
    <t>Other Trend Details</t>
  </si>
  <si>
    <t>Total Time
Trend</t>
  </si>
  <si>
    <t>Total Non Time
Trend</t>
  </si>
  <si>
    <t>Total Trends overall</t>
  </si>
  <si>
    <t>ChatGPT 5.5</t>
  </si>
  <si>
    <t>Yes</t>
  </si>
  <si>
    <t>The dataset shows a measurable hourly structure, with the strongest concentration occurring overnight and during early-shift operations. The 2:00 AM hour alone contained 17 incidents, the highest of any hour, while the 12 PM hour had 15 and the 6 AM hour had 14. The 12:00 AM–6:59 AM window accounted for 72 incidents, or 36% of all cases. However, incidents still occurred throughout all 24 hours, so the cycle is directional rather than sharply deterministic. The pattern appears associated with maintenance work, continuous manufacturing, and shift-transition operations rather than one isolated operational window.</t>
  </si>
  <si>
    <t>No</t>
  </si>
  <si>
    <t>The dataset does not exhibit a persistent day-specific surge pattern across the calendar. Most dates recorded only one incident. The busiest dates — Saturday, October 12, 2024; Monday, October 21, 2024; and Sunday, December 8, 2024 — each had only 3 incidents. Several dates had 2 incidents, but these clusters were dispersed across the year rather than concentrated into sustained waves. The evidence supports chronic background operational risk rather than strong calendar-date dependency.</t>
  </si>
  <si>
    <t>Weekly variation exists, although it is moderate rather than extreme. Sunday had the highest total with 35 incidents, followed by Monday with 33, while Friday had the fewest with 24. Weekend days accounted for 62 incidents overall, creating a slightly higher per-day incident density than weekdays. This suggests elevated risk during weekend staffing conditions, overtime work, or maintenance windows. However, the difference is not large enough to imply a sharply segmented operational cycle.</t>
  </si>
  <si>
    <t>Monthly variation exists but does not form a strong seasonal structure. February had the highest count with 28 incidents, while January, March, and November each had 12. Quarterly totals were extremely balanced: Q1 and Q4 each recorded 52 incidents, Q2 had 46, and Q3 had 50. Heat-related injuries appeared more often in warmer months and ice-related slips appeared in colder periods, but these sub-patterns did not materially reshape the overall distribution. The dataset therefore behaves as a year-round severe injury environment rather than a seasonally concentrated one.</t>
  </si>
  <si>
    <t>Several localized clusters occurred despite the absence of a single dominant outbreak event. The strongest cluster was October 18–21, 2024, which contained 7 incidents across 4 days. February 12–14, 2024 produced 6 incidents across 3 days, and August 3–5, 2024 produced 5 incidents across 3 days. The most concentrated hourly band was 12:00 AM–6:59 AM with 72 incidents total. These clusters are meaningful statistically, but they remain relatively small compared with the full-year distribution.</t>
  </si>
  <si>
    <t>Count: 5 — (1) Maintenance/Cleaning Exposure: A large share of injuries occurred while employees were cleaning, troubleshooting, clearing jams, or maintaining energized equipment, especially conveyors, presses, rollers, and cutters; (2) Finger and Hand Trauma Dominance: Finger amputations and crush injuries appeared repeatedly across presses, saws, conveyors, hydraulic tools, and forklifts, making hand trauma one of the clearest recurring patterns; (3) Slip/Trip Severity: Routine slips and trips frequently escalated into severe fractures involving hips, femurs, wrists, ankles, and skull injuries rather than minor trauma; (4) Industrial Vehicle Interaction: Forklifts, pallet jacks, trailers, scissor lifts, carts, and powered industrial vehicles repeatedly appeared across otherwise unrelated incident categories; (5) Texas Geographic Concentration: Texas locations such as Houston, Dallas, Austin, Midland, Denton, Amarillo, and Fort Worth appeared unusually frequently throughout the dataset, indicating either reporting density or strong industrial representation.</t>
  </si>
  <si>
    <t xml:space="preserve">The dataset shows a meaningful hourly concentration in overnight and early-morning operations. The busiest hour is 2:00 AM with 17 incidents, while the 12:00 AM–6:59 AM period contains 72 incidents, or 36% of the dataset. Midday activity remains elevated, especially around 12:00 PM </t>
  </si>
  <si>
    <t>The dataset does not contain a strong date-level concentration. The highest count on any single date is only three incidents, occurring on Saturday, October 12, 2024; Monday, October 21, 2024; and Sunday, December 8, 2024. Incidents are distributed steadily across the calendar rather than clustering into major outbreak periods. Several short windows contain repeated machinery injuries or falls, but no individual day materially dominates the dataset. The analysis checked for large daily spikes and sustained multi-day surges and found only mild clustering.</t>
  </si>
  <si>
    <t>Sunday has the highest incident count with 35 cases, followed closely by Monday with 33, while Friday has the fewest with 24. Weekend incidents account for 62 of 200 cases, or 31%, which is relatively high and suggests strong industrial/weekend operations exposure. However, the spread between weekdays is small and lacks a strong repeating cyclical structure. The weekday-versus-weekend contrast exists but is not large enough to qualify as a decisive weekly cycle. The analysis checked for clear weekday dominance and consistent weekend suppression and did not find either.</t>
  </si>
  <si>
    <t>February is the busiest month with 28 incidents, followed by October with 21 and August with 20. Winter and shoulder-season months contain repeated slip, ice, and fall injuries, while summer months show more heat-related and outdoor operational incidents. June through September contain multiple heat stress, dehydration, and outdoor equipment events. Seasonal movement exists but is moderate rather than extreme, with the busiest month only about 2.3 times larger than the quietest months. The data therefore supports a real but not overwhelming seasonal pattern.</t>
  </si>
  <si>
    <t>The clearest cluster appears in overnight operations: 72 incidents occurred between 12:00 AM and 6:59 AM. Date-based spikes are relatively weak, with the maximum daily count reaching only three incidents on October 12, 2024; October 21, 2024; and December 8, 2024. Late February through early March also contains a concentrated run of machine-related amputations and maintenance injuries. The clustering pattern is therefore operational and recurring rather than catastrophic or event-driven. The dataset shows persistent localized bursts instead of large isolated spikes.</t>
  </si>
  <si>
    <t>Count: 4 — (1) Machinery Maintenance Exposure: A large share of incidents occurred during machine cleaning, troubleshooting, or maintenance while equipment remained energized, especially involving conveyors, presses, rollers, and saws; (2) Finger and Hand Trauma Concentration: At least 54 incidents involved amputations or avulsions, most commonly affecting fingertips, thumbs, and hands during contact with powered equipment; (3) Warehousing and Logistics Risk: Forklifts, pallet jacks, loading docks, trailers, baggage carts, and conveyor systems recur throughout the dataset, indicating a strong logistics-sector footprint; (4) Severe Low-Height Falls: Numerous hospitalizations resulted from falls under 6 feet, including stair slips, ladder falls, and same-level trips that still produced fractures, skull injuries, or spinal trauma.</t>
  </si>
  <si>
    <t>The dataset shows a measurable hourly structure with concentrations during overnight and midday periods. The 2:00 AM hour recorded the highest count with 17 incidents, followed by 12 PM with 15 incidents and 6 AM with 14. The 12 AM–3 AM window alone accounted for 45 incidents (22.5% of the dataset). However, the cycle is only moderately consistent because incidents occur across nearly every hour of the day, and even low-volume hours such as 10 AM and 9 PM still recorded four incidents each. The pattern therefore qualifies as a real but broad operational-cycle trend rather than a sharply concentrated hourly rhythm.</t>
  </si>
  <si>
    <t>The analysis checked for recurring high-volume calendar dates and concentrated daily bursts. The largest individual dates — Sunday, December 8, 2024; Saturday, October 12, 2024; and Monday, October 21, 2024 — each recorded only three incidents. Most days in the dataset contained a single incident, indicating the injuries were widely distributed rather than clustered around specific dates. February did contain several two-incident days, but those did not establish a dominant recurring daily cycle. Because no individual dates consistently stand out at a materially higher level, the dataset does not support a strong standalone daily trend.</t>
  </si>
  <si>
    <t>The analysis tested both weekday ranking and weekday-versus-weekend behavior. Sunday recorded the highest count with 35 incidents, while Friday recorded the fewest with 24, but the spread across weekdays remained relatively narrow. Weekends accounted for 62 incidents (31.0%), which is substantial and weakens the idea of a classic Monday–Friday operational cycle. Monday through Thursday all stayed within a tight 26–33 incident range, showing no sharply repeating weekly rhythm. The dataset therefore suggests continuous operational exposure across the full week rather than a strong cyclical weekly pattern.</t>
  </si>
  <si>
    <t>February recorded the highest monthly total with 28 incidents, followed by October with 21 and August with 20. January, March, and November were the weakest months with 12 incidents each. The dataset also shows partial environmental seasonality: winter months contained more ice- and slip-related injuries, while warmer months included repeated heat illness and dehydration hospitalizations. Summer activity increased moderately during June–August, and another measurable rise occurred during October. Although the curve is not perfectly smooth, the repeated monthly shifts and environmental hazard changes are strong enough to qualify as a seasonal pattern.</t>
  </si>
  <si>
    <t>The strongest concentration occurred during the week ending February 18, 2024, which recorded 10 incidents. Elevated activity continued into the following week ending February 25, 2024, with 8 incidents, creating a sustained late-February cluster. Another smaller cluster appeared around October 12–21, 2024, where multiple three-incident days occurred and the week ending October 13 recorded 6 incidents. At the hourly level, the 12:00 AM–3:00 AM window contained 45 incidents, making overnight operations a notable concentration zone. These repeated concentrations are materially above surrounding periods and therefore qualify as true clusters.</t>
  </si>
  <si>
    <t>Count: 5 — (1) Machinery Entrapment: Conveyor belts, presses, cutters, saws, rollers, pallet jacks, and forklifts repeatedly caused amputations, crush injuries, and fractures during operation or maintenance; (2) Slip-and-Fall Lower Body Trauma: Hip, ankle, femur, and leg fractures frequently resulted from slips, stairs, ladders, loading docks, and icy surfaces; (3) Maintenance and Lockout Failures: Multiple narratives explicitly referenced energized equipment, unexpected machine cycling, missing guarding, or maintenance during active machine states; (4) Transportation and Material Handling Hazards: Forklift collisions, falling loads, trailer incidents, and pedestrian strikes appeared consistently across warehouse and industrial environments; (5) Environmental Exposure: Heat illness, burns, chemical exposure, electrical arc incidents, and insect attacks formed a smaller but persistent secondary hazard group across the year.</t>
  </si>
  <si>
    <t>The dataset shows a meaningful overnight concentration. The 2:00 AM hour alone recorded 17 incidents (8.5%), while the 12:00 AM–6:59 AM window contained 72 incidents, or 36% of all records. Noon-hour activity was also elevated, with 15 incidents around 12 PM and 14 around 6 AM. The cycle is not perfectly smooth day-to-day because adjacent hours fluctuate sharply, but the overnight maintenance/industrial-shift concentration is consistent enough to qualify as a real trend.</t>
  </si>
  <si>
    <t>The data does not contain strong single-day surges. The busiest dates — October 12, 2024; October 21, 2024; and December 8, 2024 — each recorded only three incidents. Most dates contained either one incident or none at all, meaning the distribution is broad and dispersed. The dataset reflects recurring operational risk rather than concentrated event-driven spikes.</t>
  </si>
  <si>
    <t>Sunday recorded the highest number of incidents with 35 cases, while Friday had the fewest at 24. Monday was also elevated at 33 incidents. The weekday-versus-weekend contrast was moderate rather than dramatic, with 138 weekday incidents versus 62 weekend incidents. The unusually high Sunday count suggests maintenance, logistics, or non-routine operations may increase weekend exposure.</t>
  </si>
  <si>
    <t>February was the highest month with 28 incidents, followed by October with 21 and August with 20. Winter months showed repeated slip-and-fall injuries involving ice and wet conditions, while summer and early fall contained more heat-related incidents and outdoor operational injuries. Heat illness records appeared repeatedly between April and September. Despite these seasonal effects, machinery-related amputations persisted throughout the entire year.</t>
  </si>
  <si>
    <t>The strongest cluster occurred between 12:00 AM and 6:59 AM, where 72 incidents were recorded. This range captured 36% of all incidents despite covering less than one-third of the day. Many of these incidents involved maintenance, troubleshooting, cleaning, or jam-clearing operations on active machinery. Geographic clustering was also strong, with Texas alone accounting for 42 incidents and Texas plus Florida combining for 71 cases.</t>
  </si>
  <si>
    <t>Count: 3 — (1) Machine-Interaction Injuries: Powered equipment, conveyors, presses, cutters, and forklifts repeatedly caused crush injuries and amputations, especially involving hands and fingers; (2) Fracture-Dominant Trauma: Fractures accounted for 74 incidents, making skeletal injuries substantially more common than burns, shocks, or chemical exposure; (3) Transitional-Task Risk: Many injuries occurred during maintenance, cleaning, ladder descent, walking, unloading, or machine-jam clearing rather than during primary production activity itself.</t>
  </si>
  <si>
    <t>The dataset shows a meaningful hourly concentration during overnight operations. The busiest hour was 2:00 AM with 17 incidents (8.5% of all reports), and the 12:00 AM–5:59 AM window accounted for 58 incidents (29%). Midday activity was also elevated, especially around 12:00 PM and 2:00 PM. However, the pattern is not perfectly uniform across all days, meaning the overnight signal is real but not mechanically repetitive day-to-day. The concentration likely reflects maintenance shifts, continuous manufacturing, logistics operations, and reduced-supervision periods.</t>
  </si>
  <si>
    <t>Individual dates occasionally showed localized spikes, including Sunday, December 8, 2024; Monday, October 21, 2024; and Saturday, October 12, 2024, each with 3 incidents. Several other dates recorded two incidents, particularly during February and October. However, no single date or repeating calendar-day pattern consistently dominated the dataset. The incidents were broadly distributed throughout the year rather than tied to specific recurring calendar dates. Because the concentrations were intermittent and short-lived, the dataset does not support a stable daily trend structure.</t>
  </si>
  <si>
    <t>Sunday recorded the highest total with 35 incidents, while Friday had the fewest at 24. Weekdays collectively accounted for 138 incidents (69%), compared with 62 incidents (31%) on weekends. The contrast is moderate rather than extreme because weekend activity remained substantial. The elevated Sunday count suggests heavy representation from continuous-operation industries such as warehousing, manufacturing, transportation, and maintenance. The weekly cycle exists, but it is relatively broad and operational rather than sharply behavioral.</t>
  </si>
  <si>
    <t>February was the highest-volume month with 28 incidents (14%), followed by October with 21 and August with 20. January, March, and November each recorded only 12 incidents. Heat-related illnesses appeared primarily from spring through early fall, while ice- and slip-related fractures appeared more often during winter and transitional months. The data does not show a smooth seasonal curve; instead, it shows multiple operational peaks across late winter, summer, and fall. These patterns suggest changing environmental and operational hazards rather than a single annual seasonal cycle.</t>
  </si>
  <si>
    <t>The strongest cluster occurred from February 12–27, 2024, during which 20 incidents were recorded. Another concentrated period occurred from October 6–21, 2024, with 14 incidents. Overnight hours also formed a strong cluster, with 58 incidents occurring between 12:00 AM and 5:59 AM. These bursts included repeated machinery injuries, fractures, falls, and struck-by events. The clustering appears operationally driven rather than random because similar injury types repeatedly appeared in compressed windows.</t>
  </si>
  <si>
    <t>Count: 4 — (1) Machinery Contact Injuries: Machinery-related amputations and crushing injuries were pervasive, especially involving presses, conveyors, rollers, cutters, and forklifts; (2) Maintenance/Cleaning Exposure: Many severe injuries occurred during troubleshooting, jam-clearing, inspection, or cleaning tasks rather than routine steady-state production; (3) Slip-and-Fall Severity: Same-level slips and short-distance falls frequently caused major fractures, especially hip, ankle, wrist, and rib fractures; (4) Material Handling Instability: Shifting loads, falling stock, unstable pallets, and collapsing material stacks repeatedly caused crushing injuries, fractures, and amputations.</t>
  </si>
  <si>
    <t>Claude Sonnet 4.6</t>
  </si>
  <si>
    <t>The 2:00 AM hour leads with 17 incidents, followed by noon (15) and 6:00 AM (14), suggesting a night-shift bias rather than a smooth daily cycle. The 10:00 AM and 9:00 PM hours are lowest at 4 each, but with only 200 records spread across 24 hours, most hours sit between 6 and 11 incidents — a range too narrow and the sample too small to distinguish signal from noise. The overnight concentration (58 incidents, 29% of all records, between midnight and 6 AM) is a real industrial-shift artifact, but whether the specific 2 AM peak is stable day-to-day cannot be determined from this data. No consistent intraday cycle can be established from a 200-record annual sample.</t>
  </si>
  <si>
    <t>Only three calendar dates recorded three incidents: Saturday, October 12, 2024; Monday, October 21, 2024; and Sunday, December 8, 2024. The remaining 2-incident days (roughly 20 of them) are scattered without pattern. No single date drives a compelling outlier story, and the modest multi-incident days spread across weekdays and weekends alike. The dataset was checked for holidays, Mondays-after-weekends, and payroll/shift-change days, and none produced a systematic elevation above the noise floor.</t>
  </si>
  <si>
    <t>Sunday (35) and Monday (33) are the two highest individual days while Friday (24) is the lowest, but the difference is not large enough to constitute a reliable cycle. The weekday-vs-weekend split of 138 vs. 62 is almost exactly proportional to the 5:2 day ratio in a week (expected weekend share ~28.6%, actual 31%). Saturday (27) matches Wednesday (27) exactly, and Sunday outperforms every weekday. There is no consistent "weekend dip" or "midweek peak" — the distribution is noisy rather than patterned.</t>
  </si>
  <si>
    <t>February stands out sharply at 28 incidents — 80% above the 12-month average of 16.7 and nearly double the lowest months (January, March, November all at 12) — but a single anomalous month does not constitute a seasonal pattern. The rest of the year offers a mild elevation in Aug–Oct (55 incidents over 3 months, avg 18.3 vs. a 16.7 baseline) that is too modest to call a season. No conventional summer surge or winter depression is evident, and the 6 heat-related events are too sparse to anchor any warm-weather argument. A genuine seasonal trend requires multiple months moving together; this dataset shows one outlier month embedded in otherwise flat variation.</t>
  </si>
  <si>
    <t>Two meaningful clusters exist. The densest rolling 7-day window is February 12–18, 2024 at 10 incidents — 2.6x the expected weekly rate of ~3.8. The broader February 8–21, 2024 window produced 17 incidents in 14 days. The second cluster runs October 10–21, 2024 at 16 incidents in 12 days (~4x expected), with October 12 alone registering 3 incidents. Both clusters are multi-day, cross multiple event types and states, and are not explained by a single industry or geography — they represent genuine burst periods in an otherwise moderately noisy year.</t>
  </si>
  <si>
    <t>Count: 3 — (1) Geographic Concentration: Texas (42 incidents, 21%) and Florida (29 incidents, 14.5%) together account for 35.5% of all records from just two states, far exceeding their ~15% combined share of U.S. population; this points to industrial density, reporting infrastructure, or both as structural drivers. (2) Amputation-Equipment Linkage: 55 of 200 injuries (27.5%) are amputations or avulsions, and they are almost exclusively tied to powered-equipment events — 14 during maintenance/cleaning, 10 during normal entanglement, with at least 3 narratives explicitly noting absent lockout/tagout procedures, making LOTO non-compliance a detectable sub-signal. (3) Fracture-Fall Linkage: 82 of 200 injuries (41%) are fractures, and they cluster almost entirely in fall and vehicle-strike events — effectively a separate risk domain from the amputation-equipment pattern, with different causal chains, different times of day, and no geographic overlap with the Texas/Florida concentration.</t>
  </si>
  <si>
    <t>Gemini 3.1 Pro</t>
  </si>
  <si>
    <t>The data reveals a distinct hourly cycle with unusual peaks. The highest concentration of incidents occurs during the very early morning at 2:00 AM with 17 incidents, followed closely by a midday peak at 12:00 PM with 15 incidents. Conversely, mid-morning at 10:00 AM and late evening at 9:00 PM are the safest times, recording only 4 incidents each. This cycle suggests higher risks during night shifts or standard lunch breaks.</t>
  </si>
  <si>
    <t>I evaluated the distribution of incidents across specific calendar dates to identify any major anomalies or recurrent daily spikes, but found only flat, noisy data. Most days in the dataset recorded exactly one or zero incidents throughout the entire year. While a few specific days like Sunday, December 8, 2024, and Saturday, October 12, 2024, saw exactly three incidents, these are barely above the baseline noise level. Therefore, there is no consistent or meaningful daily trend present.</t>
  </si>
  <si>
    <t>There is a clear weekly cycle indicating that risk is heavily distributed toward the beginning of the week and even the weekend. Sunday is remarkably the most dangerous day of the week, logging 35 incidents, followed closely by Monday with 33 cases. In contrast, Friday is the safest day, experiencing only 24 incidents. Weekends (Saturday and Sunday) combined account for 62 incidents (31% of the total), highlighting substantial risk outside the standard Monday-to-Friday workweek.</t>
  </si>
  <si>
    <t>The dataset exhibits notable monthly and seasonal fluctuations, rather than an even distribution throughout the year. February stands out as the most hazardous month, experiencing a sharp, localized peak of 28 incidents. The late summer and early fall also show elevated risk, with August and October logging 20 and 21 incidents, respectively. On the other hand, months like January, March, and November represent significant lulls, recording only 12 incidents each.</t>
  </si>
  <si>
    <t>Beyond broader seasonal shifts, the data features distinct, tight clusters of incidents occurring over short windows. The most prominent date-based example is the brief period from October 18–21, 2024, which saw 8 separate incidents grouped over just four days. Another highly notable cluster appears during the early hours from 2:00 AM–4:59 AM, which tightly aggregates 32 total incidents. These concentrated bursts suggest that certain operational conditions or fatigue levels occasionally align to temporarily magnify workplace hazards.</t>
  </si>
  <si>
    <t>Count: 2 — (1) Dominant Injuries: Fractures account for 37% of the records (74 incidents), while amputations make up another 27% (54 incidents). This clearly shows that severe physical trauma drives the vast majority of the dataset. (2) Primary Event Triggers: Slipping or tripping on the same level is the most common cause with 22 incidents, closely followed by being struck by powered equipment during maintenance with 20 incidents. This indicates a strong pattern of risk during routine movement and maintenance tasks rather than just active, complex operations.</t>
  </si>
  <si>
    <t>Cross-Model Comparison Summary (auto-calculated)</t>
  </si>
  <si>
    <t>Metric</t>
  </si>
  <si>
    <t>Leading model</t>
  </si>
  <si>
    <t>Count</t>
  </si>
  <si>
    <t>%</t>
  </si>
  <si>
    <t>Hourly trends detected</t>
  </si>
  <si>
    <t>Daily/day-of-week trends detected</t>
  </si>
  <si>
    <t>Weekly cycle trends detected</t>
  </si>
  <si>
    <t>Monthly/seasonal trends detected</t>
  </si>
  <si>
    <t>Spike/cluster patterns detected</t>
  </si>
  <si>
    <t>Other (non-time) trends detected</t>
  </si>
  <si>
    <t>Avg trends detected per run</t>
  </si>
  <si>
    <t>Runs with at least 1 trend recorded</t>
  </si>
  <si>
    <t>/ 30 each</t>
  </si>
  <si>
    <t>Avg number of other trends per run</t>
  </si>
  <si>
    <t>Runs with ≥1 false temporal pattern (out of 30)</t>
  </si>
  <si>
    <t>Mean false temporal claims per run (out of 5)</t>
  </si>
  <si>
    <t>% of temporal categories with false-positive claim (per run avg)</t>
  </si>
  <si>
    <t>Detection Rate by Trend Type — All Models</t>
  </si>
  <si>
    <t>Trend Type</t>
  </si>
  <si>
    <t>Hourly</t>
  </si>
  <si>
    <t>Daily</t>
  </si>
  <si>
    <t>Weekly</t>
  </si>
  <si>
    <t>Monthly/Seasonal</t>
  </si>
  <si>
    <t>Spike/Cluster</t>
  </si>
  <si>
    <t>Other</t>
  </si>
  <si>
    <t>Incident Pattern Analysis — 90-Run Tracker</t>
  </si>
  <si>
    <t>Purpose</t>
  </si>
  <si>
    <t>Track 90 analysis runs (30 each across ChatGPT 5.5, Claude Sonnet 4.6, and Gemini 3.1 Pro) testing whether each model detects the same patterns in the incident dataset.</t>
  </si>
  <si>
    <t>Sheets in this workbook</t>
  </si>
  <si>
    <t xml:space="preserve">  • All Models — 90 rows pre-filled with Model + Run #; you record what each model found</t>
  </si>
  <si>
    <t xml:space="preserve">  • Comparison Summary — counts, percentages, and leading model per trend type (auto-calculated)</t>
  </si>
  <si>
    <t xml:space="preserve">  • Charts — bar chart of detection rates by trend type (auto-updates)</t>
  </si>
  <si>
    <t xml:space="preserve">  • Instructions — this sheet</t>
  </si>
  <si>
    <t>Column meanings</t>
  </si>
  <si>
    <t xml:space="preserve">  • Total Time Trend = count of time categories (Hourly, Daily, Weekly, Monthly, Spike) where the model said Yes. No counts as 0. Max = 5.</t>
  </si>
  <si>
    <t xml:space="preserve">  • Total Non Time Trend = count of distinct trends listed in Other Trend Details. Parser accepts '1.' '2.' '3.'... or '(1)' '(2)' '(3)'... numbering.</t>
  </si>
  <si>
    <t xml:space="preserve">  • Total Trends overall = Total Time + Total Non Time.</t>
  </si>
  <si>
    <t xml:space="preserve">  • Output from the model = paste the raw model response (optional, for archival).</t>
  </si>
  <si>
    <t>Coding rules</t>
  </si>
  <si>
    <t xml:space="preserve">  • For each time category, enter Yes / No based on what the model reported.</t>
  </si>
  <si>
    <t xml:space="preserve">  • In Other Trend Details, number each distinct non-time trend as '1.', '2.', '3.' etc. — the count is auto-parsed.</t>
  </si>
  <si>
    <t xml:space="preserve">  • 'Other Trends Found?' must be Yes for the count parser to run.</t>
  </si>
  <si>
    <t>Hour 02:00 is the single peak with 17 incidents, and the midnight-to-05:59 window produces 58 incidents (29.0% of all records) — the highest of the four six-hour blocks. A secondary afternoon peak occurs at 12:00 (15 incidents) and 14:00 (11 incidents), creating a bimodal shape. The quietest hours are 10:00 and 21:00 (4 each). The overnight dominance is driven significantly by maintenance/cleaning incidents on powered equipment, consistent with a third-shift industrial pattern. However, there is no consistent day-to-day repetition of this cycle — it reflects workforce shift structure rather than a behavioral rhythm that repeats predictably each day.</t>
  </si>
  <si>
    <t>No individual calendar date dominates in a meaningful or recurring way. Three dates reach 3 incidents each — Saturday, October 12, 2024; Monday, October 21, 2024; and Sunday, December 8, 2024 — but these are isolated one-off elevations, not a pattern. With 200 incidents spread over 366 days, the base rate is well under 1 per day, and no date shows a statistically notable clustering beyond what random variation in a small sample would produce.</t>
  </si>
  <si>
    <t>Sunday leads with 35 incidents and Friday is lowest at 24, but the spread from peak to trough is only 11 incidents across all 200 records. Weekdays (Mon–Fri) produce 138 incidents (69%) vs weekends (Sat–Sun) at 62 (31%), which is almost exactly proportional to the calendar split of 5:2 days. There is no meaningful weekday-vs-weekend contrast, and the day-of-week ordering (Sun, Mon, Thu, Wed, Sat, Tue, Fri) shows no structurally coherent pattern such as a Monday/Friday elevation or a midweek peak.</t>
  </si>
  <si>
    <t>February 2024 is a clear outlier with 28 incidents — 67% above the monthly average of 16.7 and more than double the count of the four lowest months (January, March, May, November each at 12). October (21) and August (20) are secondary elevations. On a seasonal basis, summer (Jun–Aug: 54) and winter (Jan–Mar: 52, February-driven) are the heaviest quarters, while fall (Sep–Nov: 47) and spring (Apr–May: 28, excluding June) lag behind. Heat-related injuries cluster in April–September as expected, confirming a summer outdoor-work exposure effect distinct from the February spike.</t>
  </si>
  <si>
    <t>The dominant cluster is February 12–22, 2024 (14 incidents in 11 days), embedded within the broader February 4–27 elevation of 26 incidents. A second cluster runs October 6–21, 2024 (16 incidents in 16 days), including back-to-back 3-incident days on October 12 and October 21. A third short burst is December 3–8, 2024 (9 incidents in 6 days). The quietest stretch is November 18–23, 2024, with zero reported incidents across six consecutive days.</t>
  </si>
  <si>
    <t>Count: 4 — (1) Geographic Concentration: Texas (42, 21.0%) and Florida (29, 14.5%) together account for 35.5% of all incidents, with the top five states (TX, FL, NY, OH, PA) covering 56%; this reflects industrial sector composition rather than population size alone. (2) Maintenance-as-Hazard Context: 20 of 200 incidents (10%) occurred explicitly during machine maintenance, cleaning, or testing — most with equipment still energized — representing a discrete lockout/tagout failure pattern. (3) Finger/Hand Dominance: 53 narratives (26.5%) specifically involve a finger or thumb injury, and amputations and avulsions account for 54 records (27%), making the hand the most frequently severely injured body part by a wide margin. (4) PPE Paradox: PPE (gloves, safety shoes, protective equipment) is mentioned in approximately 56 narratives (28%), but in multiple documented cases the equipment failed to prevent injury or directly contributed to it — gloves caught in conveyors, shoes lacerating feet in crushes — suggesting compliance is high but PPE design is poorly matched to actual hazard exposure.</t>
  </si>
  <si>
    <t>The 2:00 AM hour is the single busiest in the dataset with 17 incidents — more than double most other hours and substantially above the dataset mean of ~8.3 incidents/hour. Secondary peaks exist at 12:00 noon (15 incidents) and 06:00 (14 incidents), likely reflecting mid-shift resumption and first-shift startup, respectively. The quietest hours are 10:00 and 21:00, each with just 4 incidents. The 2 AM spike is geographically and typologically diverse (falls, equipment strikes, stabbing, electrical arc) and distributed across all months, ruling out seasonal or industry-specific explanations; it almost certainly reflects the accident-prone midpoint of overnight 3rd-shift operations. The pattern is not a clean circadian cycle — two distinct risk windows (overnight and daytime) coexist — suggesting the dataset captures a 24/7 multi-shift workforce rather than a single standard shift.</t>
  </si>
  <si>
    <t>Three dates tied for the highest single-day count at 3 incidents each: Saturday, October 12, 2024; Monday, October 21, 2024; and Sunday, December 8, 2024. No date exceeded 3 incidents. An additional 35 dates produced exactly 2 incidents, meaning roughly 1 in 5 calendar days in the dataset carried a multi-incident day. The densest run of multi-incident days was February 12–21, when 6 consecutive dates each recorded at least 2 incidents (12 total incidents in 10 days). December 8 stands out narratively as well, with a dropped hydraulic tank, a trip-and-fall compound fracture, and a ladder fall all occurring within a 2-hour window (1:17–3:03 PM). While no single date is catastrophically dominant, the clustering of multi-incident days into recognizable runs (February, October, December) confirms that the daily signal is real and not random noise.</t>
  </si>
  <si>
    <t>The day-of-week distribution — Monday 33, Tuesday 26, Wednesday 27, Thursday 28, Friday 24, Saturday 27, Sunday 35 — is too flat to constitute a reliable weekly cycle. Sunday leads (35) and Friday trails (24), but the spread between them is only 11 incidents across 200 total records. When normalized to a per-day rate, weekends (31.0 incidents/day) marginally exceed weekdays (27.6 incidents/day), which runs counter to the common "weekday-heavy industry" assumption and likely reflects 24/7 warehouse and processing operations. There is no "Monday ramp-up," no "Friday fatigue," and no midweek valley — the distribution behaves closer to uniform noise than a structured weekly pattern. Status is No because no day-of-week pairing or recurring within-week rhythm meets a threshold that would justify calling it a predictable cycle.</t>
  </si>
  <si>
    <t>February is the standout month at 28 incidents — more than double January (12) and March (12), its immediate neighbors — but this elevation is largely attributable to a single two-week cluster (February 12–22, 18 incidents) rather than a sustained seasonal force. The remaining months produce a noisy, non-monotonic pattern: October 21, August 20, December 19, June 18, July 16, April 15, September 14, May 13, January/March/November 12 each. Neither a classic summer peak nor a winter-cold peak is visible; heat incidents (6 total) are too sparse to anchor a seasonal claim, and falls — the dominant injury type — are distributed year-round without a seasonal concentration. Status is No because February's elevation is cluster-driven rather than seasonally systematic, and no other month shows consistent multi-year reproducibility given the single-year dataset.</t>
  </si>
  <si>
    <t>Three distinct spikes are identifiable. The primary spike is Week 7, February 12–18, 2024 (10 incidents in 7 days), the highest single-week count in the dataset against a full-year average of ~3.8 incidents/week; incidents are geographically dispersed across 7 states with varied event types, pointing to statistical clustering rather than a localized event. The second spike is October 10–20, 2024 (12 incidents in 11 days across weeks 41–42), which includes the single busiest date of the year (October 12, 3 incidents). The third spike bridges December 1–8, 2024: Week 49 (December 1–7) alone produced 9 incidents — the second-highest weekly count — followed by 3 more on December 8 for a total of 12 incidents in 8 days. At the sub-daily level, the 2:00 AM hour (17 incidents across the year) constitutes a recurring hourly spike, as described in the Hourly trend row above.</t>
  </si>
  <si>
    <t>Count: 4 — (1) Upper-extremity machinery concentration: 69 of 200 incident narratives (34.5%) explicitly mention fingers, thumbs, hands, or wrists, and the dataset's 54 amputation records (27% of all incidents) are overwhelmingly linked to powered equipment contact rather than falls; the combination makes hand/finger injury the dominant physical signature of the corpus. (2) Geographic concentration in Sun Belt and Texas: Texas alone accounts for 42 incidents (21%) and Florida for 29 (14.5%), with those two states representing 35.5% of all records; the South broadly (Texas, Florida, Alabama, Georgia, Mississippi, Oklahoma, Louisiana, West Virginia, Arkansas, Tennessee) contributes roughly 100 of 200 incidents, suggesting either a true industrial density effect or a OSHA regional reporting skew. (3) Maintenance/cleaning operations as an amputation multiplier: 13 of 54 amputation cases (24%) occurred during maintenance, cleaning, or testing — events where equipment should be de-energized under lockout/tagout protocols; at least 2 narratives explicitly note the equipment was not locked out, pointing to a systemic procedural gap rather than random accident. (4) Fractures dominate falls; amputations dominate machinery: 82 fracture records align almost entirely with fall events, while the 54 amputation records align almost entirely with powered-equipment contact, creating a clean injury-mechanism dichotomy that holds consistent across all months and geographies in the dataset.</t>
  </si>
  <si>
    <t>The 2:00 AM hour stands out sharply with 17 incidents — more than double the dataset average of ~8.3 per hour — and a secondary cluster sits at noon (15 incidents) and 2:00–3:00 PM (11 combined). The overnight block (midnight–5:59 AM) accounts for 58 incidents (29%), an elevated share for hours when much of the workforce is inactive, reflecting 24-hour industrial and logistics operations. However, "consistent day-to-day cycle" cannot be established from this dataset: with 200 incidents spread over 365 days, most individual hours on individual dates have 0 or 1 record, making it impossible to confirm the pattern holds at the daily level rather than only in aggregate. The distribution is bimodal in aggregate but noisy at the granular level.</t>
  </si>
  <si>
    <t>Three dates each produced 3 incidents — Saturday, October 12, 2024; Monday, October 21, 2024; and Sunday, December 8, 2024 — and 32 dates produced 2 incidents each. No date exceeded 3, and the maximum of 3 incidents on a single day is only modestly above the expected average of ~0.55 incidents/day across 365 days. With this dataset size, a count of 3 on any given date is not statistically distinguishable from random chance, and there is no recurring calendar date (e.g., "always bad on the 15th") visible across months. The checked pattern — a specific calendar date that is consistently elevated — is not present.</t>
  </si>
  <si>
    <t>Sunday leads with 35 incidents and Monday follows with 33, while Friday is the lowest at 24. The weekend daily average (31.0) slightly exceeds the weekday daily average (27.6), a mild and counter-intuitive signal consistent with 24/7 shift operations rather than a standard 5-day-workweek pattern. The Sunday–Monday elevation versus Friday dip is consistent and directionally interesting, but the overall range across all seven days is only 11 incidents (24 to 35 out of 200), which is narrow enough that no single day dominates by a substantial margin. The pattern is suggestive but does not reach a clear Yes threshold of a strong, consistent, distinguishable weekly rhythm.</t>
  </si>
  <si>
    <t>February is the peak month at 28 incidents (14%) — striking for the calendar's shortest month — followed by October (21) and August (20). The lowest months are January, March, May, and November, each between 12 and 14. There is no clean seasonal arc (no steady summer rise or winter surge), and the heat-exposure incidents do not cluster in summer as expected: two occur in January–February and two in September. October's elevation is not explained by any obvious seasonal mechanism. Because the dataset contains only a single year with 200 records, monthly counts of 12–28 do not support statistically confident seasonal conclusions; February's peak could reflect a reporting or operational idiosyncrasy rather than a structural seasonal pattern.</t>
  </si>
  <si>
    <t>The most defined spike is February 12–25, 2024 (Weeks 7–8): 18 incidents, the only back-to-back two-week period where both weeks individually exceeded 7 incidents; within that window, February 12, 13, and 14 each produced 2 incidents (6 in three consecutive days). A secondary cluster is December 1–7, 2024 (Week 49): 9 incidents, including 3 on December 4 alone (IDs 20183, 20184, 20185). At the time-of-day level, 2:00 AM constitutes a spike of 17 incidents — more than double the 24-hour average — sustained in isolation above all other single hours, with the next highest being noon at 15. These clusters are distinct enough in magnitude to qualify as genuine bursts against the dataset's typical weekly baseline of 3–5 incidents.</t>
  </si>
  <si>
    <t>Count: 5 — (1) Finger/Hand Dominance: 64 of 200 records (32%) involve a finger, thumb, or hand; 55 records (27.5%) are coded as amputations or avulsions, making this the single most defining injury profile in the dataset and far above what a generalist severe-injury dataset would suggest; (2) Maintenance-Mode Machine Contact: 20 of 200 incidents (10%) specifically involve powered equipment during maintenance, cleaning, or testing — a window when machinery should be de-energized — with at least 2 narratives explicitly confirming lockout/tagout was not in place, and several others describing unexpected machine activation during jam-clearing or repair; (3) Falls as Universal Fracture Engine: 81 incidents (40.5%) involve falls, slips, or trips across virtually every industry setting, and fractures appear in 82 records (41%), the two categories nearly co-extensive and consistent regardless of geography, season, or job type; (4) PPE as Entanglement Vector: at least 5 narratives describe a safety glove being caught in running equipment and pulling the worker's hand into the machine, inverting the expected protective function of PPE; (5) Texas and Florida Concentration: Texas (42 records, 21%) and Florida (29 records, 14.5%) together account for 35.5% of all incidents, a share disproportionate to their combined U.S. employment base of roughly 16–18%, suggesting either elevated reporting rates, genuine industrial density, or both in those two states.</t>
  </si>
  <si>
    <t>The most notable hourly feature is the 2 AM spike (17 incidents, vs. a mean of ~8.3 per hour), but no clean or consistent shift-cycle pattern exists. The four six-hour quarters of the day hold 58, 48, 56, and 38 incidents respectively — a relatively flat distribution. The 10 AM and 9 PM hours are the quietest (4 incidents each), while noon (15) and 6 AM (14) are modest secondary peaks. Because the 2 AM figure is the single highest hourly count but is surrounded by much lower neighboring hours (4 AM = 6, 1 AM = 9), and because no trough-to-peak cycle is consistent across days of the week or months, this does not qualify as a structured, reproducible hourly cycle.</t>
  </si>
  <si>
    <t>No individual date stands out as a significant incident day. The maximum incidents on any single calendar date is 3, reached on Saturday October 12, Monday October 21, and Sunday December 8. The overwhelming majority of calendar days have 0–1 incidents, consistent with a base rate of ~0.55 incidents per day across 365 days. Even the densest stretch (February 12–22) reaches a maximum of only 2 incidents per day on most of its constituent dates. There is no "important day" in the traditional sense — no date where an unusual concentration of incidents makes that calendar day analytically meaningful.</t>
  </si>
  <si>
    <t>Sunday leads all days of the week with 35 incidents and Monday is second at 33, but this does not constitute a meaningful pattern. The full day-of-week distribution (Mon 33, Tue 26, Wed 27, Thu 28, Fri 24, Sat 27, Sun 35) falls within ±7 incidents of the expected uniform baseline of 28.6 per day. The weekday/weekend split (138 vs. 62) almost exactly matches the statistically expected split of 142.9 vs. 57.1 for a uniform distribution. Friday is the quietest weekday at 24 incidents, slightly below baseline, but the margin is too small to treat as a reliable cycle. No weekday-heavy or weekend-heavy pattern is supported by the data.</t>
  </si>
  <si>
    <t>The quarterly distribution is near-perfectly flat (Q1: 52, Q2: 46, Q3: 50, Q4: 52), ruling out a seasonal arc. However, February stands as a stark monthly outlier with 28 incidents — 2.3× the January and March counts of 12 each, and 56% above the next-highest month (October, 21). Despite this, February's spike does not follow any seasonal or industry logic: heat events, construction seasonality, and winter hazard events do not explain it, and the event types within February are heterogeneous. Because February's anomaly is isolated and not part of a broader winter or Q1 pattern, and because no other seasonal signal is detectable, a "Monthly/Seasonal Trend" in the intended sense — recurring shifts tied to seasons or consistent multi-month periods — does not exist in this data.</t>
  </si>
  <si>
    <t>Two distinct temporal clusters exist. The primary cluster runs February 12–22, 2024, containing 16 incidents in 11 days; the surrounding week (Feb 4–27) holds 25 of the month's 28 incidents, and Week 7 alone (Feb 12–18) is the single busiest week of the year at 10 incidents. The secondary cluster is December 3–8, 2024, with 9 incidents in 6 days (Week 49), including two same-day Ohio maintenance amputations on December 4. Additionally, the 2:00–2:59 AM window functions as a time-of-day spike with 17 incidents across 17 different dates — more than double the hourly mean of 8.3 and the highest of any single hour. The February cluster in particular is the dominant structural anomaly in the dataset.</t>
  </si>
  <si>
    <t>Count: 4 — (1) Hand/Finger Concentration: 49 of 200 narratives (24.5%) explicitly describe finger injuries, and amputations and avulsions collectively account for 54 incidents (27%); the hand is the most targeted anatomical site by a large margin, driven by caught-in and struck-by machinery events. (2) Maintenance/Cleaning as the Highest-Risk Sub-Context: 20 incidents are formally classified as occurring during maintenance, cleaning, or testing of powered equipment — the largest single event sub-category — reflecting a systemic pattern of machines being energized or insufficiently de-energized when workers intervene. (3) Texas and Florida Geographic Dominance: Texas (42 incidents, 21%) and Florida (29 incidents, 14.5%) together account for 35.5% of the entire dataset, an outsized share relative to their proportion of U.S. industrial employment; no other state exceeds 17 incidents. (4) Fractures as the Overwhelming Injury Class: Fractures appear in 74 of 200 records (37%), with hip fractures recurring specifically in fall-on-same-level events involving warehouse, retail, and delivery workers stepping off ladders or tripping on floor hazards — suggesting a concentrated risk profile within what appears to be an older or physically vulnerable worker segment.</t>
  </si>
  <si>
    <t>The data does not show a consistent, dominant day-to-day hourly cycle. While there are minor peaks at 2:00 AM (17 incidents) and 12:00 PM (15 incidents), the distribution across the 24-hour period is highly scattered. Total daytime incidents (06:00 to 17:00) account for 104 events, while nighttime incidents (18:00 to 05:00) closely follow with 96, revealing a flat and noisy daily risk profile rather than a reliable cycle.</t>
  </si>
  <si>
    <t>Although the dataset averages fewer than one incident per day, there are specific outlier dates that stand out with multiple events. The highest frequency for any single day is three incidents, which occurred on Saturday, October 12, 2024; Monday, October 21, 2024; and Sunday, December 8, 2024. Additionally, there are 32 distinct dates that experienced exactly two incidents, highlighting significant, isolated daily anomalies.</t>
  </si>
  <si>
    <t>The weekly cycle is mostly flat and noisy, lacking a definitive trend. Sunday is technically the most frequent day with 35 incidents, and Friday is the lowest with 24 incidents. While weekend days slightly edge out weekdays on average (31 per weekend day versus 27.6 per weekday), the very tight overall range means no partial or full trend is strongly supported.</t>
  </si>
  <si>
    <t>The data exhibits a notable seasonal imbalance with distinct monthly peaks and troughs. February is the strongest month by far with 28 incidents, followed by October (21) and August (20). Conversely, there is a pronounced drop during other transition and winter months, with January, March, and November tying for the lowest count at just 12 incidents each.</t>
  </si>
  <si>
    <t>There are distinct bursts of incidents concentrated across short calendar windows. A notable 3-day cluster occurred from October 19–21, 2024, logging exactly 6 incidents. Expanding to a 5-day window, February 18–22, 2024; October 17–21, 2024; and December 4–8, 2024 each recorded 8 incidents, representing severe isolated spikes against the annual baseline.</t>
  </si>
  <si>
    <t>Count: 3 — (1) Geographic Concentration: Texas and Florida dominate the dataset with 42 and 29 incidents respectively, representing 35.5% of the total 200 reports.; (2) Injury Severity: Fractures are overwhelmingly the most common injury (74 incidents, 37%), followed by varying severities of amputations (54 incidents, 27%).; (3) Leading Causes: Slips/trips resulting in same-level falls (22 incidents) and strikes by running powered equipment during maintenance (20 incidents) are the most frequent event types.</t>
  </si>
  <si>
    <t>I checked the hourly distribution across a 24-hour cycle and found no consistent day-to-day rhythm matching standard operational hours. Instead, the highest peak is unexpectedly at 2:00 AM (17 incidents), followed by a midday spike at 12:00 PM (15 incidents) and 6:00 AM (14 incidents). The lowest periods are 10:00 AM and 9:00 PM (4 incidents each). Because the cycle is heavily erratic and doesn't map to a consistent daily work curve, it does not form a reliable partial or full hourly trend.</t>
  </si>
  <si>
    <t>I checked individual calendar dates to see if any specific days consistently drove severe injuries, but the data is mostly flat and noisy. The vast majority of dates have between zero and two incidents. The absolute highest individual days were Sunday, December 08, 2024, Saturday, October 12, 2024, and Monday, October 21, 2024, which all tied with just 3 incidents each. Since no single day heavily dominates the dataset and the distribution is scattered, there is no meaningful daily trend.</t>
  </si>
  <si>
    <t>The data reveals a strong weekly cycle where standard weekends and the beginning of the week are disproportionately dangerous. Sunday is the absolute peak with 35 incidents, followed closely by Monday with 33 incidents, whereas Friday is the safest day with only 24. The weekend contrast is stark, as Saturday and Sunday combine for 62 incidents (31% of the total dataset), suggesting elevated risks during non-standard weekday operations.</t>
  </si>
  <si>
    <t>There are distinct shifts tied to specific months across the year. February stands out as an extreme peak with 28 severe injury incidents, followed by October with 21. On the other end of the spectrum, January, March, and November tie for the lowest incident counts at 12 each. The data establishes a clear trend of high late-winter and mid-fall spikes compared to relatively quieter transitional months.</t>
  </si>
  <si>
    <t>I investigated the dataset for anomalous short-term bursts that exceed the standard daily rate. There are two highly unusual bursts of concentrated injuries that break the typical baseline. The first major cluster occurred from February 12–14, 2024, where exactly 6 severe incidents took place in just 72 hours. A second identical burst happened from October 19–21, 2024, which also recorded 6 incidents over a three-day window.</t>
  </si>
  <si>
    <t>I evaluated the categorical and geographical fields in the dataset and identified stark patterns completely unrelated to the temporal data. These findings center around state-level geography, physical injury outcomes, and the operational circumstances triggering the accidents. Count: 3 — (1) Geographic Concentration: A massive 35.5% of all injuries occur in just two states (Texas with 42, Florida with 29); (2) Injury Typology Dominance: Fractures (74) and combined amputations (54) overwhelmingly dominate, accounting for almost 64% of all records; (3) Maintenance Vulnerability: "Struck by running powered equipment during maintenance, cleaning, testing" is the second-highest event trigger (20 cases), highlighting severe systemic failures in lockout/tagout protocols.</t>
  </si>
  <si>
    <t>While the aggregate dataset shows minor statistical peaks at 2:00 AM (17 incidents) and 12:00 PM (15 incidents), this daily cycle is entirely inconsistent when broken down day-to-day. For instance, Mondays see their highest incident volumes in the late evening, whereas weekend days fluctuate wildly between the early morning and noon hours. The hour-by-hour distribution is ultimately flat and noisy across the entire week. Because the data lacks a cohesive rhythm that translates reliably from one day to the next, a definitive universal hourly trend cannot be established.</t>
  </si>
  <si>
    <t>There are important standalone days that experienced a noticeably higher-than-average volume of severe workplace incidents. Most notably, Sunday, December 8, 2024, Saturday, October 12, 2024, and Monday, October 21, 2024, each recorded exactly 3 incidents. Given that the entire dataset averages roughly 0.54 incidents per day, these distinct single-day spikes represent significant statistical anomalies. Such isolated daily surges suggest localized events, unique operating conditions, or sheer statistical coincidence on those specific dates.</t>
  </si>
  <si>
    <t>The dataset reveals a counterintuitive weekly cycle where the traditional weekend downtime does not result in lower severe injury rates. Sundays represent the absolute highest-risk day of the week, leading the dataset with 35 incidents (17.5% of the total). Mondays immediately follow as the second most dangerous day with 33 recorded incidents. In stark contrast, Fridays represent the weakest day for incidents, recording only 24 cases (12%), demonstrating that operations occurring over the weekend carry highly elevated risks.</t>
  </si>
  <si>
    <t>There are distinct, quantifiable shifts tied to specific months, particularly a highly elevated injury rate toward the end of the winter season. February stands out dramatically as the peak month, recording 28 incidents and capturing 14% of the year's entire incident volume. This late-winter surge is immediately contrasted by significant drops in the surrounding months. Both January and March experienced a notable trough, recording only 12 incidents each, which highlights a very clear short-term seasonal anomaly.</t>
  </si>
  <si>
    <t>A highly concentrated burst of severe injuries occurred in the middle of the first quarter, aggressively breaking the average pacing of the year. Specifically, during the tight 14-day window of February 12–25, 2024, the dataset recorded a localized cluster of exactly 18 incidents. This unusual burst accounts for 9% of the entire year's severe injuries, occurring in less than 4% of the calendar year. Such a tightly grouped sequence represents a massive deviation from the dataset's standard baseline frequency.</t>
  </si>
  <si>
    <t>Count: 2 — (1) Geographic Concentration: A massive geographical imbalance exists within the data, with Texas and Florida acting as overwhelming hotspots that account for 42 and 29 incidents respectively. This heavy clustering means these two states alone capture 35.5% of the total dataset, suggesting localized industrial risks or superior OSHA reporting compliance. (2) Severe Machinery Injuries: The nature of the injuries demonstrates a heavy skew toward catastrophic physical trauma, with fractures dominating the outcomes at exactly 74 cases (37%). Furthermore, machinery-related amputations form another massive cluster, combining for 54 incidents and accounting for 27% of the dataset.</t>
  </si>
  <si>
    <t>The data shows distinct peak hours, specifically 2:00 AM (17 incidents) and 12:00 PM (15 incidents), alongside an overall high count during the 12:00 AM to 5:00 AM overnight block. However, this trend is only partial because there is no consistent day-to-day cycle. The peak hours are scattered sporadically across different dates rather than forming a reliable daily rhythm.</t>
  </si>
  <si>
    <t>There are specific days that stand out from the baseline noise of the dataset. While most dates register zero to one incidents, Sunday, December 8, 2024, Saturday, October 12, 2024, and Monday, October 21, 2024, all experienced distinct peaks. Each of these full dates recorded exactly 3 separate severe injury events.</t>
  </si>
  <si>
    <t>The distribution of incidents across the week is effectively flat, defying the expectation of a heavily weekday-skewed dataset. Sunday is the highest individual day (35 incidents) while Friday is the lowest (24 incidents). Because weekend days actually average slightly higher incident rates than weekdays (31 vs 27.6), there is no solid, predictable weekly cycle.</t>
  </si>
  <si>
    <t>There are clear seasonal variations in the injury reports. The winter season contains the highest incident volume (59 incidents), primarily fueled by an anomalous peak in February which saw 28 reports. The data then dips into a seasonal trough during the spring months, which accounted for only 40 incidents combined.</t>
  </si>
  <si>
    <t>The dataset contains intense, multi-day bursts of severe injuries that break from the standard distribution. The most distinct cluster occurred from October 18–21, 2024, where 8 incidents were reported in a tight 4-day window. Additional heavy clusters took place from December 4–8, 2024 (8 incidents) and February 12–14, 2024 (6 incidents).</t>
  </si>
  <si>
    <t>Count: 3 — (1) Geographic Concentration: A massive 35.5% of all incidents took place in just two states, with Texas logging 42 events and Florida logging 29; (2) Injury Type Dominance: The physical consequences are severely skewed toward bone trauma, with Fractures making up 40.5% (81) of incidents and Amputations accounting for 27% (54); (3) Trigger Event Patterns: Gravity and moving machinery are the primary culprits, as Falls (77 incidents) and "Struck by" events (68 incidents) caused nearly three-quarters of all injuries.</t>
  </si>
  <si>
    <t>I evaluated the data to identify peak and trough hours, searching for a reliable daily hourly cycle. While the aggregates show an isolated peak at 2:00 AM (17 incidents) and another at 12:00 PM (15 incidents), the rest of the distribution is entirely flat and noisy. Because the dataset only contains 200 events spread across 365 days, this cycle is completely inconsistent on a day-to-day basis. Therefore, it fails to qualify as a continuous, predictable trend.</t>
  </si>
  <si>
    <t>I analyzed the data to locate an underlying progressive or cyclical daily pattern throughout the year. The distribution proved to be mostly flat, with the vast majority of dates recording zero or one incident without an overarching cycle. I did identify important individual days, such as Sunday, December 8, 2024, and Monday, October 21, 2024, which each suffered 3 severe incidents. However, these represent isolated, high-volume anomalies rather than a true daily trend.</t>
  </si>
  <si>
    <t>A definitive weekly trend emerges that actively subverts standard five-day business week expectations. Sunday is the single strongest day for severe injuries, recording 35 total incidents, while Monday follows with 33. The weakest day is Friday, which drops to a weekly low of 24 incidents. The contrast between weekdays and weekends is practically nonexistent, suggesting high-risk operations or maintenance persist heavily into weekend shifts.</t>
  </si>
  <si>
    <t>The data demonstrates clear shifts tied to specific seasons, with Winter standing as the most hazardous period overall (59 incidents). This high seasonal total is primarily driven by an immense spike in February, which alone accounts for 28 recorded events. Conversely, Spring operates as the safest season, tallying just 40 total incidents over its three months. This establishes a noticeable wave of risk that peaks in late winter before falling sharply in the subsequent season.</t>
  </si>
  <si>
    <t>The dataset features sudden, unusual bursts of injury reports that break away from the standard incident baseline. By measuring the data across a five-day rolling window, an intense cluster emerged exactly between October 17–21, 2024, accounting for 8 separate incidents. An identical secondary cluster took place between December 4–8, 2024, also tallying 8 incidents. These tight, high-volume date ranges confirm a pattern of localized incident spikes.</t>
  </si>
  <si>
    <t>Count: 2 — (1) Geographic Dominance: Texas (42 cases) and Florida (29 cases) overwhelmingly lead the dataset, pointing to heavy concentrations of hazardous industry in these specific states; (2) Maintenance-Amputation Link: Amputations account for a staggering 27% of all injuries (54 cases), which aligns heavily with the 20 total events categorized strictly under workers cleaning, testing, or maintaining running powered equipment.</t>
  </si>
  <si>
    <t>The dataset shows a measurable hourly concentration pattern. The single busiest hour was 2:00 AM with 17 incidents, followed by 12:00 PM with 15 and 6:00 AM with 14. Overnight and early-morning operations collectively produced a disproportionate share of severe injuries, especially between midnight and 6:00 AM. However, incidents still occurred during every hour of the day, so the cycle is directional rather than sharply concentrated. The quietest hours were 10:00 AM and 9:00 PM with only 4 incidents each.</t>
  </si>
  <si>
    <t>Individual dates rarely contained more than one incident, which weakens the evidence for a meaningful daily trend structure. The largest single-day spikes were October 12, 2024, October 21, 2024, and December 8, 2024, each with 3 incidents, while several other dates had 2 incidents. These spikes were isolated and not connected into sustained runs. The overall pattern looked like a continuous stream of independent severe injuries rather than synchronized surges tied to specific calendar days.</t>
  </si>
  <si>
    <t>Sundays had the highest incident count with 35 cases, while Fridays had the fewest with 24. Weekdays collectively accounted for 138 incidents versus 62 on weekends, but after adjusting for the larger number of weekdays, the contrast weakened considerably. Weekend activity remained consistently elevated, especially on Sundays. Because no weekday consistently dominated and the spread across the week stayed relatively narrow, the dataset does not support a strong weekly operational cycle.</t>
  </si>
  <si>
    <t>February recorded the highest monthly total with 28 incidents, followed by October with 21 and August with 20. January, March, and November each recorded only 12 incidents. There was a mild elevation from late summer into early fall, but the variation was not strong enough to establish a robust seasonal cycle because incidents remained active throughout the entire year. Heat-related injuries did show seasonal concentration between April and September, but total injury volume itself stayed relatively stable.</t>
  </si>
  <si>
    <t>The clearest clusters were thematic rather than date-driven. Machinery-related hand injuries formed the strongest cluster, with 54 incidents involving amputations, avulsions, or fingertip loss. Another major cluster involved falls and slips, including 22 “fall on same level due to slip or trip” incidents plus many additional ladder and stair falls. Temporal spikes were comparatively weak, with the largest daily surges reaching only 3 incidents on October 12, October 21, and December 8, 2024. Overnight operations also formed a loose time cluster, with 45 incidents occurring between 12:00 AM and 3:59 AM.</t>
  </si>
  <si>
    <t>Count: 5 — (1) Finger/Hand Trauma Concentration: Severe hand injuries dominated machinery incidents, especially involving presses, conveyors, saws, rollers, grinders, and cutters; (2) Maintenance Hazard Exposure: A large share of incidents occurred during troubleshooting, cleaning, inspection, or jam-clearing rather than normal production; (3) Fracture Dominance: Fractures accounted for 74 of 200 incidents, making skeletal injuries the most common outcome category; (4) Texas Geographic Concentration: Texas alone contributed 42 incidents, representing 21% of the dataset and far exceeding any other state; (5) Powered Industrial Vehicle Presence: Forklifts, pallet jacks, scissor lifts, excavators, and similar vehicles appeared repeatedly across collision, crushing, and struck-by incidents.</t>
  </si>
  <si>
    <t>The dataset shows a mild overnight concentration, especially around 2:00 AM (17 incidents) and 6:00 AM (16 incidents), but the hourly spread is too broad to qualify as a strong repeating cycle. The lowest hour, 10:00 AM, still had 4 incidents, meaning activity remained distributed across the full day. Overnight incidents were heavily tied to maintenance, warehousing, conveyor systems, and powered industrial equipment. The pattern exists directionally but lacks enough consistency day-to-day to qualify as a definitive hourly cycle.</t>
  </si>
  <si>
    <t>Sundays recorded the highest count with 35 incidents, followed closely by Mondays with 33. Fridays were lowest with 24 incidents. Specific dates with elevated activity included Saturday, October 12, 2024; Monday, October 21, 2024; and Sunday, December 8, 2024, each with 3 incidents. However, most dates only contained one incident, and the spread between days was relatively narrow. The evidence supports mild variation but not a strong daily trend.</t>
  </si>
  <si>
    <t>Weekdays accounted for 138 incidents while weekends accounted for 62, meaning weekends still represented 31% of all incidents. Sunday alone was actually the highest single day category with 35 incidents. This weak weekday-versus-weekend separation suggests many incidents occurred in industries operating continuously, including manufacturing, healthcare, warehousing, transportation, and maintenance operations. Because the contrast between weekdays and weekends was limited, the dataset does not support a strong weekly cycle trend.</t>
  </si>
  <si>
    <t>February had the highest monthly count with 28 incidents, followed by October with 21 and August with 20. August through October combined for 55 incidents, representing 27.5% of the dataset. Heat-related incidents became more visible in late spring through early fall, including documented heat illness and dehydration cases in May, June, and September. Despite this, machinery injuries and falls persisted year-round, indicating the seasonal effect was additive rather than dominant.</t>
  </si>
  <si>
    <t>The dataset contains only localized mini-clusters rather than major spikes. The clearest concentration occurred during August–October 2024 with 55 incidents total, and February 2024 alone contained 28 incidents. Individual dates such as October 12, 2024, October 21, 2024, and December 8, 2024 each recorded 3 incidents, but no sustained multi-day outbreak pattern emerged. The data is fundamentally dispersed rather than clustered.</t>
  </si>
  <si>
    <t>Count: 5 — (1) Machinery Exposure: Powered equipment, conveyors, presses, saws, forklifts, and pallet jacks dominate the narratives and repeatedly caused crush injuries, amputations, and fractures; (2) Finger and Hand Trauma: Fingertip amputations, crushed fingers, and hand entanglements appear throughout the dataset and represent one of the clearest injury themes; (3) Maintenance Vulnerability: Many incidents occurred during cleaning, troubleshooting, jam clearing, adjustment, or testing operations rather than normal production; (4) Slip/Trip Severity: Routine walking surfaces, stairs, pallets, wet floors, and ice frequently caused severe fractures and hospitalizations; (5) Warehousing/Logistics Concentration: Forklifts, loading docks, conveyors, storage systems, and freight handling environments appear repeatedly across states and months.</t>
  </si>
  <si>
    <t>The dataset shows some concentration overnight, especially between 12:00 AM and 6:59 AM with 72 incidents, and the single busiest hour is 2:00 AM with 17 incidents. Noon also remains elevated with 15 incidents, which weakens the idea of one dominant operational cycle. The spread between the highest and lowest hours is moderate rather than extreme, with low points like 10:00 AM and 9:00 PM each having 4 incidents. The cycle is therefore not consistent enough day-to-day to qualify as a stable hourly trend.</t>
  </si>
  <si>
    <t>The highest number of incidents on any single date is only 3, occurring on October 12, 2024; October 21, 2024; and December 8, 2024. Most dates contain only one incident, and many contain two. The dataset does not produce recurring high-risk calendar dates or sustained daily surges. While some dates contain thematic clustering, the overall distribution is operationally scattered rather than calendar-driven.</t>
  </si>
  <si>
    <t>Sunday records the highest total with 35 incidents, while Friday records the fewest with 24. Weekends contribute 62 incidents, or 31% of the dataset, which is somewhat elevated relative to their share of the week. However, the weekday distribution remains relatively balanced, with Tuesday through Thursday all falling within a narrow 26–28 range. The differences are too small and inconsistent to establish a reliable weekly operating cycle.</t>
  </si>
  <si>
    <t>February contains 28 incidents, making it the strongest month despite being the shortest. Summer and early fall months show increased heat-related incidents, especially from April through September in southern states like Texas and Florida. Winter and late-winter periods contain repeated ice-related slips and fractures, while autumn contains elevated machinery and amputation incidents. The dataset therefore shows rotating seasonal hazard types rather than one uniform annual wave.</t>
  </si>
  <si>
    <t>The clearest cluster occurs during overnight operations between 12:00 AM and 6:59 AM, where 72 incidents occur. Several short-range daily clusters also appear during February 4–24, 2024 and October 12–21, 2024, though no single day exceeds 3 incidents. Machinery-related finger amputations recur continuously across these ranges, especially during maintenance and troubleshooting tasks. The clustering is more operational and injury-type driven than purely date-driven.</t>
  </si>
  <si>
    <t>Count: 4 — (1) Maintenance/Cleaning Exposure: A large number of severe injuries occurred while workers were cleaning, troubleshooting, clearing jams, or servicing energized equipment, especially conveyors, presses, and cutters; (2) Hand/Finger Injury Concentration: Finger amputations and crush injuries repeatedly appeared across presses, saws, rollers, conveyors, and forklifts, making hand trauma one of the dominant injury themes; (3) Forklift and Industrial Vehicle Hazard: Forklifts, pallet jacks, scissor lifts, trailers, and excavators repeatedly contributed to crush injuries, fractures, and pinning incidents across warehouses and industrial sites; (4) Slip/Fall Surface Hazard: Severe fractures repeatedly resulted from ice, wet floors, stairs, ladders, warehouse clutter, and unstable walking surfaces across many unrelated industries.</t>
  </si>
  <si>
    <t>The dataset shows a meaningful hourly structure, with the strongest concentration occurring overnight and in early morning operations. The 2:00 AM hour contained 17 incidents, the highest of any hour, while midnight through 6:59 AM accounted for 72 of 200 incidents (36%). Midday activity was also elevated, especially around 12 PM with 15 incidents. However, the cycle was not perfectly smooth because incidents occurred across nearly every hour. The weakest hours were 10 AM and 9 PM with only 4 incidents each.</t>
  </si>
  <si>
    <t>The analysis checked for recurring high-volume dates and concentrated calendar spikes. Most dates contained only one incident, with an average of roughly 1.23 incidents per active day. Only October 12, 2024, October 21, 2024, and December 8, 2024 reached 3 incidents each. Several February dates had two incidents, but no sustained single-date pattern emerged. The data therefore does not support a strong recurring daily concentration trend.</t>
  </si>
  <si>
    <t>Sunday had the highest total with 35 incidents, followed by Monday with 33, while Friday had the lowest weekday total at 24. Weekdays collectively accounted for 138 incidents (69%) versus 62 on weekends (31%). Although weekend activity was unusually high for an industrial dataset, the differences between weekdays were not large enough to establish a stable or strongly repeating weekly cycle. The analysis specifically checked for a classic weekday-versus-weekend operational split and found only a moderate imbalance.</t>
  </si>
  <si>
    <t>February was the strongest month with 28 incidents, followed by October with 21 and August with 20. January, March, and November were the weakest months with 12 incidents each. Summer months (June–August) combined for 54 incidents, or 27% of the dataset, including several heat-related hospitalizations. Fall activity also stayed elevated, with September and October totaling 35 incidents. The data supports moderate seasonality rather than an extreme seasonal swing.</t>
  </si>
  <si>
    <t>The strongest weekly cluster occurred during the week ending February 18, 2024, with 10 incidents. Another elevated cluster occurred during the week ending February 25, 2024, with 8 incidents. On an hourly basis, the 2:00 AM–2:59 AM window produced 17 incidents, making it the strongest time-of-day concentration. Smaller machinery-amputation bursts also appeared during August and October. The clusters were real but distributed rather than dominated by one catastrophic surge.</t>
  </si>
  <si>
    <t>Count: 4 — (1) Machinery Interaction Dominance: Powered industrial equipment, conveyors, presses, forklifts, and saws repeatedly appeared in severe injuries, especially during maintenance, cleaning, troubleshooting, or jam-clearing activities; (2) Finger/Hand Injury Concentration: Finger amputations and crush injuries were extremely common, particularly involving pinch points, rotating machinery, and cutting equipment; (3) Slip/Fall Severity: Slip-and-fall incidents frequently resulted in major fractures, skull trauma, and hospitalization rather than minor injuries; (4) Powered Industrial Vehicle Exposure: Forklifts, pallet jacks, loaders, and industrial vehicles repeatedly appeared in crush, collision, pinned-worker, and falling-load incidents throughout the year.</t>
  </si>
  <si>
    <t>The dataset shows a meaningful overnight concentration, especially around 2:00 AM with 17 incidents, while the 12 PM hour contains 15 incidents and 6 AM contains 14 incidents. Overnight activity from midnight through 6:59 AM accounts for 72 incidents, or 36% of all records. This suggests severe injuries are strongly tied to 24-hour industrial operations rather than only daytime office-hour work. However, the cycle is broad rather than sharply peaked, meaning the hourly pattern exists but is operationally diffuse across the full day.</t>
  </si>
  <si>
    <t>The dataset does not show a strong repeatable day-by-date pattern because most calendar dates contain only one incident. The highest-volume dates — Sunday, December 8, 2024; Monday, October 21, 2024; and Saturday, October 12, 2024 — each contain only three incidents. Several short bursts appear in February and October, but they are too small and inconsistent to establish a reliable daily cycle. The data is therefore temporally sparse at the single-date level.</t>
  </si>
  <si>
    <t>Sundays contain the highest number of incidents with 35 cases, while Fridays contain the fewest with 24. Weekends still account for 62 incidents, or 31% of all records, showing that industrial activity continues heavily outside the standard workweek. However, the spread across weekdays is relatively flat, and no weekday consistently dominates the dataset strongly enough to establish a robust weekly cycle. The difference between the highest and lowest weekday counts is only 11 incidents across the entire year.</t>
  </si>
  <si>
    <t>February records the highest monthly total with 28 incidents, followed by October with 21 and August with 20. A broader late-summer and early-fall concentration appears from August through October, totaling 55 incidents or 27.5% of all records. Heat-related injuries also cluster between spring and early fall, including dehydration, heat illness, and heat stroke events. Although the seasonal effect is moderate rather than extreme, the elevated counts and changing injury mix support a real seasonal trend.</t>
  </si>
  <si>
    <t>The strongest cluster occurs between 12:00 AM and 6:00 AM, where 58 incidents are recorded. Many of these involve machinery cleaning, troubleshooting, conveyor maintenance, jam clearing, or powered equipment servicing. A second cluster appears from August through October 2024 with 55 incidents combined. The dataset also contains a concentrated structural cluster of more than 50 amputation-related injuries tied to presses, saws, rollers, cutters, conveyors, and forklifts.</t>
  </si>
  <si>
    <t>Count: 5 — (1) Machinery Entrapment: Powered equipment and pinch-point incidents repeatedly involve conveyors, presses, grinders, saws, and forklifts causing crush injuries and amputations; (2) Finger/Hand Trauma: Finger and thumb amputations recur throughout the dataset and are one of the clearest injury signatures; (3) Slip/Fall Severity: Same-level slips and short falls frequently produce severe fractures, skull injuries, and spinal trauma despite relatively low fall heights; (4) Material Handling Hazards: Falling loads, shifting materials, pallets, drywall, steel, and tubing repeatedly injure workers during transport or storage operations; (5) Maintenance Exposure: A disproportionate share of incidents occur during equipment cleaning, troubleshooting, repair, testing, or jam-clearing activities where guarding and normal operating protections are reduced.</t>
  </si>
  <si>
    <t>The dataset shows a meaningful overnight concentration. The 2:00 AM hour contains 17 incidents, the highest of any hour, while midnight–6:59 AM collectively account for 72 of 200 incidents (36%). Noon also shows elevated activity with 15 incidents. The pattern is fairly consistent with maintenance, cleaning, and industrial operations recurring overnight, although the exact hourly peaks fluctuate rather than forming a perfectly smooth cycle.</t>
  </si>
  <si>
    <t>Individual dates do not show sustained or dominant spikes. The highest-volume dates — Saturday, October 12, 2024; Monday, October 21, 2024; and Sunday, December 8, 2024 — each contain only 3 incidents. Many dates contain only one event, and the dataset is broadly distributed across the calendar. The data therefore does not support a strong recurring daily concentration pattern.</t>
  </si>
  <si>
    <t>Sunday records the highest count with 35 incidents, while Friday records the fewest with 24. Weekend activity is proportionally elevated relative to the number of weekend days, suggesting continuous industrial operations. However, the spread between weekdays is moderate rather than dramatic, and no day consistently dominates enough to establish a strong weekly cycle.</t>
  </si>
  <si>
    <t>February has the highest monthly count with 28 incidents, followed by October with 21 and August with 20. February also contains 11 fall-related incidents and 8 amputation-related injuries, indicating elevated winter operational hazards. June contains the highest concentration of fall-related injuries with 12 cases. Heat-related incidents cluster mostly in warmer months such as May and September, while icy slip/trip narratives are concentrated in colder periods.</t>
  </si>
  <si>
    <t>A strong overnight operational cluster exists between 12:00 AM and 6:00 AM with 72 incidents total. A second thematic cluster involves machine-related amputations and crushing injuries tied to conveyors, presses, shears, rollers, and saws, accounting for more than one-quarter of all records. Another clear cluster links falls, slips, ladders, and stairs with fractures, which appear in 74 incidents overall. These clusters are operationally consistent even though no single catastrophic spike dominates the dataset.</t>
  </si>
  <si>
    <t>Count: 5 — (1) Maintenance-State Vulnerability: Many injuries occurred during troubleshooting, unjamming, cleaning, setup, or repair rather than routine production work; (2) Hand/Finger Trauma Concentration: Fingertip, thumb, and hand amputations appear repeatedly across machine-related incidents involving presses, shears, grinders, and conveyors; (3) Powered Industrial Vehicle Exposure: Forklifts, pallet jacks, scissor lifts, and loaders repeatedly appear in crush, collision, and struck-by events; (4) Fracture-Dominant Injury Profile: Fractures account for 74 of 200 incidents, making them the single most common injury outcome; (5) Industrial Environment Concentration: Warehousing, manufacturing, logistics, and construction settings dominate the narratives far more than office or retail environments.</t>
  </si>
  <si>
    <t>The dataset shows a measurable hourly structure, with 2:00 AM recording 17 incidents, the highest single-hour concentration in the sample. Noon-hour activity is also elevated with 15 incidents around 12 PM, while 6 AM contains 14 incidents. Overnight periods from 12:00 AM–3:59 AM collectively account for roughly 45 incidents, heavily concentrated in maintenance, troubleshooting, and machine-contact scenarios. However, the cycle is not perfectly uniform day-to-day because different hazard categories dominate different hours. The overnight spike is especially associated with manufacturing and powered-equipment incidents rather than all injury types equally.</t>
  </si>
  <si>
    <t>I checked incident frequency by full calendar date and weekday distribution. While a few dates such as Saturday, October 12, 2024 and Monday, October 21, 2024 reached 3 incidents, most dates only contained one incident. There was no sustained sequence of unusually high-volume dates that would qualify as a stable day-level operational trend. The dataset is dispersed across many locations and industries rather than dominated by recurring “high-risk dates.” The observed peaks are therefore isolated clusters rather than consistent daily patterns.</t>
  </si>
  <si>
    <t>Sundays recorded 35 incidents and Mondays 33, while Fridays had only 24 incidents. Weekend activity was unexpectedly strong, indicating substantial continuous-operation work such as warehousing, logistics, maintenance, and industrial processing. Saturdays and Sundays together contributed 62 incidents, which is high relative to a traditional office-centered workweek pattern. The weekend effect is real but somewhat noisy because weekday counts remain fairly close overall. The strongest weekend narratives involve forklifts, maintenance, powered equipment, and fall incidents.</t>
  </si>
  <si>
    <t>February contained 28 incidents, making it the strongest visible month, followed by October with 21 and August with 20. Winter months showed repeated ice- and slip-related fractures, including broken hips, femurs, and ankle injuries tied to loading docks, parking lots, and freezer environments. Summer and early-fall periods showed more heat-related hospitalizations, dehydration, and outdoor operational injuries. The seasonal pattern is category-specific rather than linear, with different hazards dominating different parts of the year. There is no smooth annual rise or decline, but there are recognizable seasonal hazard shifts.</t>
  </si>
  <si>
    <t>The clearest temporal cluster occurred during the overnight block from 12:00 AM–3:59 AM, which contained approximately 45 incidents across the 200-record sample. A concentrated operational cluster also appeared during August 20–23, 2024, when four severe machine- and vehicle-related incidents occurred within four consecutive days. Another dense activity period occurred from February 20–27, 2024, with repeated forklift, crushing, fall, and machine-amputation incidents. These bursts are thematic and operational rather than tied to a single employer or geographic area. Even during clusters, incidents remained geographically distributed.</t>
  </si>
  <si>
    <t>Count: 4 — (1) Hand/Finger Trauma Dominance: Finger, thumb, and hand amputations recur across presses, grinders, conveyors, saws, forklifts, and cutting machinery, making upper-extremity trauma one of the strongest structural patterns in the dataset; (2) Maintenance-State Hazard: A large share of severe incidents occurred during cleaning, troubleshooting, jam-clearing, inspection, repair, or setup rather than normal production operations, indicating elevated danger during transitional machine states; (3) Forklift and Powered Vehicle Interaction: Forklifts, pallet jacks, scissor lifts, and powered industrial vehicles repeatedly appear in crushing, collision, struck-by, and pinning incidents across warehouses and industrial sites; (4) Low-Height Severe Falls: Many fractures and head injuries resulted from falls under 6 feet, stairs, truck exits, and slips on ice or wet surfaces, showing that relatively low elevations still produced hospitalization-level trauma.</t>
  </si>
  <si>
    <t>The dataset shows a moderate overnight concentration but not a stable cyclical hourly pattern. The busiest hour was 2:00 AM–2:59 AM with 17 incidents, followed by 12:00 PM with 15 and 6:00 AM with 14. However, incidents were distributed across nearly all hours, with even low-volume hours still recording 4–10 incidents. I checked for a consistent daytime-versus-nighttime structure, but the spread was too broad to qualify as a strong hourly cycle.</t>
  </si>
  <si>
    <t>The highest-volume dates were Sunday, December 8, 2024; Monday, October 21, 2024; and Saturday, October 12, 2024, each with 3 incidents. Most dates only had a single incident, indicating that severe injuries were broadly dispersed rather than concentrated around specific days. I checked for repeated same-date surges or recurring monthly date effects, but the clustering was too weak and inconsistent.</t>
  </si>
  <si>
    <t>Sundays had the highest count with 35 incidents, while Fridays had the fewest with 24. Weekend days accounted for 62 incidents, or 31% of the dataset, slightly above the expected weekly share. However, weekday totals remained relatively close together, ranging from 24 to 35 incidents. I checked for a reliable weekday-versus-weekend operational cycle, but the differences were not strong enough to establish a definitive weekly pattern.</t>
  </si>
  <si>
    <t>February recorded the highest monthly total with 28 incidents, while January, March, and November each had 12. Winter months showed more slip-and-ice injuries, while summer and early fall contained more heat-related incidents and outdoor work exposures. Despite those thematic differences, monthly volumes fluctuated within a relatively narrow range and no sustained seasonal escalation appeared. I checked for dominant winter or summer peaks, but neither pattern was strong enough to qualify as a clear seasonal cycle.</t>
  </si>
  <si>
    <t>The strongest weekly cluster occurred during February 12–18, 2024 (ISO Week 7), which contained 10 incidents. Another elevated cluster occurred during early December 2024 (ISO Week 49) with 9 incidents. The clearest hourly spike occurred during 2:00 AM–2:59 AM, where 17 incidents were recorded, more than double the average expected hourly count. These clusters included multiple amputations, falls, crush injuries, and vehicle-related incidents across different states and industries.</t>
  </si>
  <si>
    <t>Count: 4 — (1) Finger/Hand Trauma Concentration: Fingertip, thumb, and hand injuries dominated the dataset, with amputations and crush injuries repeatedly involving presses, grinders, saws, conveyors, and cutting tools; (2) Maintenance/Cleaning Hazard Pattern: A large share of incidents occurred during maintenance, jam clearing, cleaning, troubleshooting, or equipment adjustment rather than normal production; (3) Powered Industrial Vehicle Exposure: Forklifts, pallet jacks, scissor lifts, order pickers, and industrial transport vehicles repeatedly appeared in crush, collision, and pinning injuries; (4) Low-Energy Fall Severity: Many severe fractures and hospitalizations resulted from simple slips, trips, stairs, wet floors, ice, or low-height falls rather than dramatic high-energy events.</t>
  </si>
  <si>
    <t>The dataset shows a meaningful hourly concentration around overnight and shift-transition hours. The 2:00 AM hour alone contained 17 incidents, the highest of any hour, while 12:00 PM had 15 and 6:00 AM had 14. Overnight hours from 12:00 AM–5:59 AM accounted for 58 of 200 incidents (29%), exceeding both morning and evening totals. However, the distribution is not sharply cyclical because incidents still occur throughout the entire 24-hour period. The pattern is therefore real but operationally broad rather than narrowly concentrated.</t>
  </si>
  <si>
    <t>Individual dates do not show sustained or dominant spikes. The highest-volume dates — Sunday, December 8, 2024; Monday, October 21, 2024; and Saturday, October 12, 2024 — each only contained 3 incidents. Most dates contained either one incident or none at all. The dataset therefore lacks repeated calendar-date clustering strong enough to qualify as a true recurring daily trend. What exists is scattered variability rather than a stable day-specific pattern.</t>
  </si>
  <si>
    <t>Sundays had the highest count with 35 incidents while Fridays had the fewest with 24, but the spread across weekdays was relatively narrow. Weekdays represented 69% of incidents versus 31% on weekends, which roughly matches ordinary industrial scheduling rather than an unusually strong weekly hazard cycle. No weekday consistently dominated the dataset by a large margin. Because the difference between strongest and weakest weekday totals was only 11 incidents across the entire year, the weekly cycle is too weak and noisy to qualify as a definitive trend.</t>
  </si>
  <si>
    <t>February recorded the highest monthly total with 28 incidents, followed by October with 21 and August with 20. January, March, and November were lowest with 12 incidents each. Seasonal hazard composition changed throughout the year: winter months contained more ice-related falls and fractures, while summer and early fall included more heat-related hospitalizations and outdoor exposure incidents. Machinery amputations and crush injuries persisted consistently across all seasons, indicating that industrial equipment hazards were not seasonally dependent. The seasonality therefore exists primarily through changing injury types rather than dramatic swings in total incident volume.</t>
  </si>
  <si>
    <t>The strongest temporal concentration occurred overnight between 12:00 AM and 5:59 AM, which contained 58 incidents total. A smaller calendar cluster appeared from October 12–21, 2024, during which repeated amputations, falls, burns, and struck-by incidents occurred, including two separate 3-incident days. February 4–24, 2024 also showed dense repeated industrial injury activity involving forklifts, machinery entanglements, and falls. Despite these clusters, the dataset never showed large catastrophe-style surges concentrated into a few days. The clustering pattern is therefore moderate and operational rather than extreme.</t>
  </si>
  <si>
    <t>Count: 5 — (1) Machinery Entrapment: Conveyor belts, presses, grinders, rollers, shears, and saws repeatedly caused amputations and crush injuries throughout the dataset; (2) Hand/Finger Concentration: Finger amputations and hand crushing injuries formed one of the most persistent injury patterns across industries and months; (3) Maintenance Hazard Exposure: Many incidents occurred during troubleshooting, cleaning, clearing jams, servicing equipment, or working around energized systems rather than during steady-state production; (4) Low-Height Severe Falls: Same-level slips, stairs, ladders, and short falls routinely caused fractures, skull injuries, and hospitalizations despite relatively modest fall distances; (5) Industrial Vehicle Interaction: Forklifts, pallet jacks, scissor lifts, and powered vehicles repeatedly appeared in collision, crush, pedestrian-strike, and material-handling incidents.</t>
  </si>
  <si>
    <t>The dataset shows a measurable overnight concentration, although it is not perfectly cyclical. The 2:00 AM hour recorded 17 incidents, the highest of any hour, while 12:00 PM recorded 15 and 6:00 AM recorded 14. The quietest hours were 10:00 AM and 9:00 PM with only 4 incidents each. A broader overnight cluster from 12:00 AM–5:00 AM contained 51 incidents (25.5% of all records). However, incidents were still distributed across nearly all hours, so the cycle is present but noisy rather than sharply consistent day-to-day.</t>
  </si>
  <si>
    <t>The data does not show a sustained or dominant calendar-date trend. The maximum count on any single day was only 3 incidents, occurring on October 12, 2024; October 21, 2024; and December 8, 2024. Several dates contained 2 incidents, especially in February and August, but most dates had either zero or one incident. Because the incident volume is spread broadly across the year, no repeating high-risk daily pattern clearly qualifies as a strong trend.</t>
  </si>
  <si>
    <t>Sunday had the highest count with 35 incidents and Friday had the fewest with 24, but the spread was relatively narrow across the seven weekdays. Weekends accounted for 62 incidents (31%) while weekdays accounted for 138 incidents (69%), which broadly mirrors a normal workweek distribution. The elevated Sunday count suggests continuous-operation or maintenance activity, but the differences were not large enough to establish a strong recurring weekly cycle. The pattern exists partially but lacks sufficient separation to qualify as a definitive weekly rhythm.</t>
  </si>
  <si>
    <t>February had the highest monthly total with 28 incidents, followed by October with 21 and August with 20, while January, March, and November each had only 12. Heat-related hospitalizations appeared more frequently from spring through early fall, including incidents on May 17, 2024 and September 24, 2024. Winter and early-spring months contained multiple ice- and slip-related fractures, including February 9, 2024 in Rochester and March 27, 2024 in Sandusky. Machine-related amputations occurred steadily year-round, indicating that seasonal shifts mainly affected environmental hazards rather than industrial equipment hazards.</t>
  </si>
  <si>
    <t>The strongest cluster occurred during overnight industrial activity between 12:00 AM–5:00 AM, which contained 51 incidents. Many involved maintenance, troubleshooting, cleaning, or machine-adjustment work where equipment unexpectedly cycled or remained energized. Additional concentrated activity occurred around powered industrial vehicles, forklifts, conveyors, and presses throughout the year. The cluster is operational rather than calendar-based, reflecting repeated exposure to machinery and maintenance hazards during low-hour production periods.</t>
  </si>
  <si>
    <t>Count: 2 — (1) Hand and Finger Trauma Dominance: At least 54 incidents involved amputations or severe avulsion injuries, with fingertips, thumbs, and hands repeatedly injured by presses, saws, conveyors, and powered equipment. Fractures were also dominant overall with 74 cases, but hand trauma was the most anatomically concentrated pattern. (2) Maintenance and Troubleshooting Hazard Pattern: A large share of incidents occurred during non-routine work such as cleaning jams, troubleshooting equipment, inspecting conveyors, or performing repairs. “Struck by running powered equipment during maintenance, cleaning, testing” alone appeared 20 times, showing elevated risk during intervention work rather than normal production flow.</t>
  </si>
  <si>
    <t>The dataset shows a measurable hourly structure, although the pattern is noisy rather than perfectly cyclical. The peak hour was 2:00 AM with 17 incidents, followed by 12:00 PM with 15 incidents and 6:00 AM with 14 incidents. Overnight operations were heavily represented, with 58 incidents occurring between midnight and 5:59 AM. The lowest-activity hours were 10:00 AM and 9:00 PM with only 4 incidents each. The cycle is directionally consistent with industrial shift work, but the variation between hours is moderate rather than sharply concentrated.</t>
  </si>
  <si>
    <t>The analysis checked for concentrated incident dates and sustained multi-day surges. The highest-volume dates — Sunday, December 8, 2024; Monday, October 21, 2024; and Saturday, October 12, 2024 — each only recorded 3 incidents. Several other dates had 2 incidents, but there was no sustained escalation around any single day. Most calendar dates contained just one incident. This indicates a relatively stable baseline rate rather than meaningful date-specific spikes.</t>
  </si>
  <si>
    <t>The weekly distribution was examined across all seven weekdays and compared between weekdays and weekends. Sunday had the highest count with 35 incidents while Friday had the lowest with 24, but the spread was relatively small. Weekdays accounted for 138 incidents versus 62 on weekends, yet the per-day rates were fairly comparable because weekdays contain more calendar days. The pattern does not show a strong or stable weekday-versus-weekend behavioral cycle. The distribution is too flat to qualify as a strong weekly cycle trend.</t>
  </si>
  <si>
    <t>Monthly counts showed moderate but meaningful seasonal variation. February recorded the highest monthly total with 28 incidents, followed by October with 21 and August with 20. Winter contained 59 incidents compared with 40 in spring, suggesting elevated winter risk. Winter months included more ice-related slips and falls, while summer showed more heat illness and outdoor exposure cases. Machinery amputations and powered-equipment injuries remained consistently present throughout all seasons.</t>
  </si>
  <si>
    <t>A clear operational cluster occurred during overnight hours, especially from 12:00 AM–5:59 AM, where 58 incidents occurred. Another cluster appeared during ISO Week 7 of 2024, which contained 10 incidents, the highest weekly concentration in the dataset. Maintenance, cleaning, troubleshooting, and jam-clearing activities repeatedly appeared within these clusters. The event category “Struck by running powered equipment during maintenance, cleaning, testing” alone accounted for 20 incidents. These bursts reflect concentrated operational risk environments rather than random dispersion.</t>
  </si>
  <si>
    <t>Count: 4 — (1) Hand/Finger Trauma Concentration: Finger amputations, crush injuries, and avulsions repeatedly occurred during machine operation, maintenance, and material handling; (2) Maintenance Hazard Exposure: Many severe injuries happened while clearing jams, troubleshooting machinery, or servicing energized equipment rather than during routine operation; (3) Low-Height Fall Severity: Numerous fractures and hospitalizations resulted from slips, stairs, ladders, and falls under 6 feet, showing that catastrophic height was not necessary for severe injury; (4) Industrial Logistics Concentration: Forklifts, pallet jacks, conveyors, loading docks, trailers, and warehouse movement systems appeared throughout the dataset, indicating a strong warehousing/manufacturing operational profile.</t>
  </si>
  <si>
    <t>The dataset shows a measurable hourly concentration, especially during overnight and shift-transition periods. The highest hour was 2:00 AM with 17 incidents, followed by the 12:00 PM hour with 15 and the 6:00 AM hour with 14. Hours from 12:00 AM–6:59 AM accounted for 72 incidents, or 36% of all records, indicating substantial overnight industrial activity. However, the pattern is not a clean office-hour cycle; incidents are distributed across all 24 hours. The trend still qualifies because overnight operational work consistently appears in maintenance, logistics, and manufacturing narratives.</t>
  </si>
  <si>
    <t>I checked for strong weekday concentration and specific-date clustering, but the distribution remained relatively flat. Sunday had the most incidents with 35, while Friday had the fewest with 24, which is not a large enough separation to indicate a strong daily cycle. Important dates such as Sunday, July 28, 2024 and Sunday, October 20, 2024 contained severe incidents, but there was no sustained concentration around specific dates or holidays. The data reflects continuous industrial operations rather than a pronounced daily rhythm. Because no single weekday or calendar date consistently dominates, the trend does not fully qualify.</t>
  </si>
  <si>
    <t>Weekend activity was only moderately higher than weekday activity. Saturdays and Sundays combined accounted for 62 incidents, compared with 138 across weekdays, producing only a slight elevation after adjusting for day count. Sunday was the busiest day with 35 incidents, but Tuesday through Thursday remained close behind with 26–28 each. The incidents appear spread across industries operating seven days a week, including warehousing, transportation, healthcare, and manufacturing. Since the weekday-versus-weekend contrast is present but weak and inconsistent, the weekly cycle does not qualify as a strong trend.</t>
  </si>
  <si>
    <t>Seasonal variation appears meaningfully in the dataset. February recorded the highest monthly total with 28 incidents, while October had 21 and August had 20; January, March, and November each had only 12. Winter months showed repeated slip-and-fall and ice-related injuries, including February 9, 2024 in Rochester, New York and October 12, 2024 in Lakewood, Colorado. Summer months showed more heat stress and outdoor operational incidents, especially from May through September. Heat-related hospitalizations occurred on dates including May 17, 2024, June 20, 2024, and September 24, 2024. Machinery amputations remained steady throughout the year, but weather-sensitive injuries showed clear seasonal influence.</t>
  </si>
  <si>
    <t>The strongest cluster was overnight industrial injury activity between 12:00 AM–6:00 AM, where 72 incidents occurred, representing 36% of the dataset. A second major cluster involved hand and finger trauma: 54 amputation-type injuries occurred across the year, accounting for 27% of all records. These injuries repeatedly involved conveyors, rollers, presses, grinders, saws, and forklifts. Texas formed a geographic cluster with 42 incidents, or 21% of all reports, concentrated in industrial and logistics environments. The clustering is operational rather than epidemic, meaning incidents recur around similar equipment types and workflows rather than during isolated short bursts.</t>
  </si>
  <si>
    <t>Count: 3 — (1) Maintenance-State Risk: A large share of injuries occurred during maintenance, troubleshooting, cleaning, testing, or jam-clearing activities while machinery remained energized or operational; (2) Hand Exposure Pattern: Finger and hand injuries dominated the dataset, with 54 amputation-type incidents involving conveyors, saws, rollers, presses, and pinch points; (3) Mobility Transition Injuries: Many fractures and severe injuries occurred while workers were entering trucks, descending ladders, walking on stairs, stepping off platforms, or moving across warehouse floors rather than during high-energy catastrophic events.</t>
  </si>
  <si>
    <t>The dataset shows a measurable hourly concentration pattern. The strongest hour was 2:00 AM with 17 incidents, while the midnight–3:59 AM window contained 45 incidents total (22.5% of all records). Secondary peaks occurred at 6:00 AM (14 incidents) and 12:00 PM (15 incidents). Low-activity periods included 10:00 AM and 9:00 PM with only 4 incidents each. The pattern suggests overnight industrial and logistics operations are heavily represented. The cycle is present but not perfectly stable day-to-day because incident types vary substantially by date.</t>
  </si>
  <si>
    <t>I checked for repeated high-volume dates and dominant single-day spikes. Only three dates reached the maximum of 3 incidents: Saturday, October 12, 2024; Monday, October 21, 2024; and Sunday, December 8, 2024. Most calendar days contained only one incident. February contained many separate two-incident days rather than one concentrated surge day. Because no individual dates consistently dominated the dataset, the evidence does not support a strong standalone daily trend.</t>
  </si>
  <si>
    <t>A broad weekly cycle exists, but it is not a standard weekday-office pattern. Sunday recorded the highest total with 35 incidents, followed closely by Monday with 33 incidents. Friday had the lowest count at 24 incidents, but the spread across days remained relatively narrow overall. Weekend activity remained elevated, with Saturday and Sunday combining for 62 incidents, indicating around-the-clock operational industries. The consistency of weekend activity supports a real weekly operational pattern rather than random variation.</t>
  </si>
  <si>
    <t>February was the highest month with 28 incidents, followed by October with 21 and August with 20. Late summer and early fall (August–October) produced 55 incidents compared with 37 incidents in January–March. Heat-related incidents clustered from spring through early fall, including documented heat illness and dehydration hospitalizations in April, May, and September. Winter-related slips and ice falls appeared repeatedly in February and October. The seasonality is moderate rather than extreme, but the month-to-month shifts are large enough to qualify as a real trend.</t>
  </si>
  <si>
    <t>The clearest cluster occurred during February 12–18, 2024, when 10 incidents were recorded in a single week. Another strong cluster occurred during December 3–8, 2024, with 9 incidents. At the hourly level, 45 incidents occurred between 12:00 AM and 3:59 AM, creating a distinct overnight concentration zone. The cluster periods included multiple machinery injuries, falls, fractures, and amputations rather than one single accident type. These concentrations were materially higher than surrounding periods and therefore qualify as true spikes/clusters.</t>
  </si>
  <si>
    <t>Count: 3 — (1) Machinery-Hand Injury Concentration: Finger, thumb, and hand amputations repeatedly occurred around presses, saws, conveyors, rollers, and grinders, with 54 amputation-related injuries overall; (2) Maintenance-State Vulnerability: A large share of injuries occurred during cleaning, troubleshooting, unjamming, inspection, or repair rather than during stable production operation; (3) Severe Low-Energy Falls: Same-level slips and short falls repeatedly caused high-severity injuries including fractured hips, vertebrae, skull fractures, and intracranial bleeding, showing that injury severity was not limited to high-height incidents.</t>
  </si>
  <si>
    <t>The dataset shows some concentration during overnight and transition hours, especially at 2:00 AM (17 incidents), 12:00 PM (15 incidents), and 6:00 AM (14 incidents). However, incidents occur across all 24 hours, with no sharply repeating operational cycle. Even low-volume hours such as 10:00 AM and 9:00 PM still recorded incidents. The spread is broad enough that the hourly pattern does not qualify as a strong or consistent cyclical trend day-to-day.</t>
  </si>
  <si>
    <t>No individual calendar date produced a dominant surge. The highest observed daily totals were only 3 incidents, occurring on Saturday, October 12, 2024; Monday, October 21, 2024; and Sunday, December 8, 2024. Multiple other dates recorded 2 incidents, but the distribution remained dispersed across the year. The dataset therefore reflects persistent background severe injuries rather than concentrated event-driven daily spikes.</t>
  </si>
  <si>
    <t>Sunday recorded the highest incident total with 35 cases (17.5%), while Friday recorded the fewest with 24 cases (12%). Weekends contributed 62 incidents overall, which is relatively high given weekends make up only two days of the week. Monday was also elevated with 33 incidents, suggesting operational restart risk or heavy industrial scheduling effects. The pattern indicates severe injuries are spread across continuous operations rather than concentrated in traditional weekday office schedules.</t>
  </si>
  <si>
    <t>February recorded the highest monthly total with 28 incidents, followed by October with 21 and August with 20. January and March were comparatively low at 12 incidents each. A moderate late-summer and fall elevation appears from August through October, although the increase is not dramatic enough to suggest a sharp seasonal cycle. Heat-related injuries also appear more frequently during warmer months including April, May, June, and September.</t>
  </si>
  <si>
    <t>The dataset contains only mild short-term concentrations rather than true spikes. The strongest visible burst occurred from October 12–21, 2024, with 10 incidents over 10 days, while February 12–24, 2024 produced 14 incidents across 13 days. No single day exceeded 3 incidents, and no short interval showed a statistically extreme surge. The injury flow is therefore better described as steady and persistent rather than clustered into abnormal bursts.</t>
  </si>
  <si>
    <t>Count: 3 — (1) Machinery Entrapment: Industrial equipment such as presses, conveyors, grinders, saws, forklifts, and palletizers repeatedly caused amputations and crushing injuries, especially during cleaning or maintenance activities; (2) Slip/Fall Severity: Same-level slips and trips generated a disproportionately high number of fractures, hip injuries, and hospitalizations despite involving ordinary walking or climbing tasks; (3) Routine Task Escalation: Many severe injuries occurred during normal operational duties such as unjamming equipment, retrieving inventory, descending stairs, or exiting vehicles, indicating that ordinary repetitive work frequently escalated into hospitalization-level incidents.</t>
  </si>
  <si>
    <t>The dataset shows a meaningful overnight concentration. The busiest hour was 2:00 AM with 17 incidents, followed by 12:00 PM with 15 and 6:00 AM with 14. Incidents between 12:00 AM and 6:59 AM accounted for 72 of 200 cases (36.0%). The pattern is visible across multiple months and industries, especially manufacturing, warehousing, and maintenance operations. However, the cycle is not perfectly uniform every day because some dates are dominated by daytime falls or transportation injuries instead of overnight machine events.</t>
  </si>
  <si>
    <t>I checked for individual dates with unusually high incident totals. The maximum count on any single date was only 3 incidents, occurring on October 12, 2024, October 21, 2024, and December 8, 2024. Several dates had 2 incidents, especially in February and August, but no date produced a sustained or dominant surge relative to the overall dataset. The incidents are broadly distributed across the calendar, so there is not a strong recurring daily trend pattern.</t>
  </si>
  <si>
    <t>I compared all days of the week and also tested weekday versus weekend activity. Sunday had the highest count with 35 incidents and Friday had the lowest with 24, but the spread was relatively small. Weekdays accounted for 138 incidents (69.0%) while weekends accounted for 62 (31.0%), which is close to a normal calendar distribution. The data suggests continuous-operation industries rather than a strong weekday-only or weekend-only cycle.</t>
  </si>
  <si>
    <t>February recorded the highest monthly count with 28 incidents, followed by October with 21 and August with 20. January, March, and November were the quietest months with 12 incidents each. August through October combined for 55 incidents (27.5% of the dataset), showing elevated late-summer and autumn activity. Heat-related injuries clustered more heavily from April through September, while slip-and-fall ice incidents appeared more often in colder periods such as February and October.</t>
  </si>
  <si>
    <t>The strongest cluster occurred during overnight operations between 12:00 AM and 6:59 AM, which contained 72 incidents. Another notable cluster occurred from February 4–24, 2024, when repeated machinery entanglements, falls, and amputations appeared across multiple states. August 20–30, 2024 also showed repeated overnight machinery amputations and severe falls. Despite these clusters, the largest single-day spike was only 3 incidents, so the dataset is characterized more by repeated micro-clusters than extreme surges.</t>
  </si>
  <si>
    <t>Count: 3 — (1) Hand/Finger Trauma Dominance: Amputation and crush injuries involving fingers and hands appeared in 54 incidents, commonly involving conveyors, presses, saws, grinders, and forklifts; (2) Maintenance Activity Risk: Many injuries occurred during troubleshooting, cleaning, clearing jams, or machine repair, especially in “during maintenance, cleaning, testing” event categories that totaled 20 incidents; (3) Elevation Transition Falls: Employees were repeatedly injured while stepping down from ladders, trucks, stairs, loading docks, or platforms, producing a recurring pattern of transition-related fractures and hospitalizations.</t>
  </si>
  <si>
    <t>The 2:00 AM hour is the single most dangerous in the dataset with 17 incidents — more than double the expected rate of ~8.3 per hour under uniform distribution. The night window (midnight–5:59 AM) is the busiest six-hour block at 58 incidents (29%), slightly edging the afternoon block (12:00–17:59) at 56 (28%). A secondary rise appears at 6:00 AM (14 incidents) and noon (15 incidents), suggesting start-of-shift and midday patterns. Whether this cycle is consistent day-to-day cannot be determined from this dataset, which pools industries with heterogeneous shift structures. The night-shift spike almost certainly reflects the composition of the industries represented (food processing, distribution, oil and gas) rather than a universal circadian hazard.</t>
  </si>
  <si>
    <t>Three dates recorded 3 incidents each: Sunday, December 8, 2024; Monday, October 21, 2024; and Saturday, October 12, 2024. An additional 12 or more dates registered 2 incidents apiece, spread across June through December. No single date exceeds 3 incidents, and no mass-casualty single-site event is detectable. The three peak dates are not consecutive and span different weekdays, states, and industry types, confirming they are independent statistical coincidences rather than a shared operational cause. The February 4 and February 12–14 two-incident days contribute to the broader February cluster discussed under spikes.</t>
  </si>
  <si>
    <t>Sunday has the most incidents (35) and Friday the fewest (24), but the range from 24 to 35 across seven days is narrow for a 200-incident dataset. Weekends produce 62 incidents (31% of total) compared to a proportional expectation of ~57 (28.6%), a difference of only ~5 incidents. No day of the week is dramatically safer or more dangerous than others. The narrative in Part 2 noted a marginally higher per-day rate on weekends (0.60 vs. 0.53), but this is within the margin of normal statistical variation for a dataset of this size and does not constitute a meaningful weekly cycle.</t>
  </si>
  <si>
    <t>The quarterly season totals — Winter 52, Spring 46, Summer 50, Fall 52 — span only a 13% range, constituting a flat seasonal distribution. February is an extreme outlier at 28 incidents (14% of the annual total), but it stands alone; March (12) and January (12) immediately bracket it without elevation. This makes February a spike within a flat baseline rather than evidence of a winter seasonal trend. October (21) and December (19) are elevated but not dramatically so relative to nearby months. The data does not support a coherent seasonal narrative.</t>
  </si>
  <si>
    <t>The primary spike is February 12–24, 2024 (Weeks 7–8), with 18 incidents in 13 calendar days — roughly 9% of the annual total compressed into 3.5% of the year's days. The secondary spike is December 3–8, 2024 (Week 49), with 9 incidents in 6 consecutive days across five states. A third cluster covers October 6–21, 2024, accounting for 17 of October's 21 incidents in a 16-day window. The intra-day spike at 2:00 AM yields 17 incidents in a single clock hour across the full year. The February and December clusters are geographically dispersed with no shared employer, suggesting national-level statistical bunching in a moderately sized dataset rather than a site-specific event.</t>
  </si>
  <si>
    <t>Count: 3 — (1) Amputation Dominance: 54 of 200 incidents (27%) result in amputations (bone loss or soft tissue), making this dataset's injury profile fundamentally different from general workplace injury data; finger and hand amputations from unguarded machinery nip points are the single most recurring injury mechanism across the narratives. (2) Maintenance/LOTO Failure: 20 incidents (10%) are explicitly classified under the "struck by running powered equipment during maintenance, cleaning, testing" event type, and multiple narratives directly note the machine was energized or not locked out, making LOTO non-compliance a traceable and concrete causal thread through the data. (3) Geographic Over-Concentration in Texas and Florida: Texas (42 incidents, 21%) and Florida (29 incidents, 14.5%) together account for 35.5% of the dataset while representing roughly 14% of U.S. private-sector employment, a near-2.5× over-representation that holds regardless of time period examined and likely reflects a combination of industry mix, workforce density in hazardous sectors, and OSHA regional reporting patterns.</t>
  </si>
  <si>
    <t>The 2:00–2:59 AM hour is the busiest at 17 incidents (2.04× the 8.3 per-hour average), and noon (15 incidents) is secondary. However, no consistent intraday cycle repeats reliably across days — the distribution between hours is highly variable, with hours like 4 AM (6 incidents) and 10 AM (4 incidents) inexplicably quiet. The data reflects a mixed-shift industrial workforce rather than a single-shift pattern, so a clean trough-to-peak cycle does not materialize. The 2 AM concentration is real and cross-month (appearing in 8 different months), most plausibly tied to night-shift fatigue in the second half of overnight shifts, but it does not constitute a consistent hourly cycle. Status is No because the broader 24-hour cycle is noisy and irregular rather than consistent day-to-day.</t>
  </si>
  <si>
    <t>Three dates recorded 3 incidents each — Saturday, October 12, 2024; Monday, October 21, 2024; and Sunday, December 8, 2024 — and 32 dates recorded exactly 2. However, no specific calendar date stands out as a recurring high-risk day across multiple weeks or months. The highest-volume individual days are isolated spikes rather than a reproducible pattern tied to a particular date or date type. The data checked included all 200 incident dates, and no repeating date (e.g., every 15th of the month) or calendar anchor (e.g., Mondays after holidays) was identified. Status is No because the finding is isolated date-level noise, not a consistent daily pattern.</t>
  </si>
  <si>
    <t>The per-day-type incident rate ranges narrowly: Sunday leads at 0.67 incidents/day and Friday is lowest at 0.46, a difference of just 0.21 incidents/day. Weekdays account for 138 incidents (69%) versus a proportional expectation of ~143 (71.4%), meaning weekends are only marginally elevated relative to frequency. Week W07 (February 12–18) at 10 incidents and W49 (December 1–7) at 9 are the peak weeks, but they are not adjacent to each other, share no event-type pattern, and do not repeat. There is no consistent strongest or weakest day-of-week that holds up after normalization; Sunday's slightly elevated raw count (35) is largely explained by continuous-operation industries rather than a true weekly cycle. Status is No because the weekday/weekend contrast is negligible and no day-of-week pattern holds across months.</t>
  </si>
  <si>
    <t>Quarterly counts are Q1: 52, Q2: 46, Q3: 50, Q4: 52 — a range of just 6 incidents across the year's four seasons, which is statistical noise at this sample size. No season is systematically elevated or depressed. February is the outlier month at 28 incidents versus a 16.7 average, but March immediately reverts to 12, meaning February's spike is not the start of a seasonal arc. Summer months (June: 18, July: 16, August: 20) are unremarkable. Heat-exposure incidents do not cluster in summer: of 6 such events, none occurred in June, July, or August. The data was checked for any two-consecutive-month pattern or quarter-over-quarter trend, and none was found. Status is No because no seasonal arc — even a partial one — persists across adjacent months.</t>
  </si>
  <si>
    <t>Two distinct time-bounded clusters are identifiable. First, February 12–24, 2024 (Weeks W07–W08): 18 incidents in 13 days, a rate roughly 3× the annual baseline of ~3.85 per week; event types are mixed (falls, vehicle incidents, equipment injuries), suggesting no single cause. Second, October 6–21, 2024: 15 incidents in 16 days, including 3 incidents on October 12 and 3 on October 21 alone. At the sub-daily level, the 2:00–2:59 AM hour across the full year contains 17 incidents — a persistent hourly spike appearing in 8 separate months. December 8, 2024 is the single most concentrated calendar date at 3 incidents in a 105-minute window (1:17–3:03 PM). These clusters are real density elevations above baseline, not artifacts of uneven monthly coverage.</t>
  </si>
  <si>
    <t>Count: 4 — (1) Finger Amputation Concentration: Of 54 amputation injuries (27% of all incidents), 46 (85%) involve fingers or thumbs, primarily from contact with nip points of running or energized equipment; 6 narratives explicitly name lockout/tagout failure, and 20 incidents (10% of the dataset) are coded as occurring "during maintenance, cleaning, or testing," making routine maintenance contexts nearly as dangerous as normal operations. (2) Geographic Concentration: Texas (42 incidents, 21%) and Florida (29 incidents, 14.5%) together produce 35.5% of all 200 incidents, with the next tier being New York (17), Ohio (13), and Pennsylvania (11); the South and industrial Midwest account for an outsized share relative to national workforce distribution. (3) Fall-to-Fracture Pipeline: Falls, slips, and trips account for 81 incidents (40.5%) and map almost directly onto the 82 fracture injuries (41%), representing the single most productive injury pathway; roughly 46 of the 81 falls are same-level or near-level events in warehouse, parking lot, and facility floor settings, not elevated-work falls. (4) No Fatalities Recorded: None of the 200 incident narratives contains the words "died," "death," "killed," or "fatal," confirming this is a hospitalization/amputation threshold dataset rather than a fatality register, which means the severity floor is high but consistent throughout.</t>
  </si>
  <si>
    <t>The 2:00 AM hour is the single busiest in the dataset at 17 incidents — nearly triple the quietest hours (10:00 AM and 9:00 PM, each at 4). Noon is the second peak at 15 incidents, followed by 2:00 PM (11). The overnight window of midnight through 5:59 AM produces 58 incidents, more than either the morning (48) or afternoon (56) traditional shift windows. However, the cycle is not consistent or smooth: the 10:00 AM trough falls in the middle of the conventional workday, and the 2:00 AM spike is an isolated point rather than part of a gradual overnight arc. Day-to-day consistency of the cycle cannot be assessed reliably in a 200-record annual sample.</t>
  </si>
  <si>
    <t>No single date produces a dramatically elevated count. The maximum is 3 incidents, shared by Saturday, October 12, 2024; Monday, October 21, 2024; and Sunday, December 8, 2024. Thirty-five dates produce 2 incidents each. The remaining majority of dates register 1 or 0. Given that the dataset averages 0.55 incidents per calendar day, hitting 3 on any date is a mild statistical fluctuation rather than a meaningful "important day" signal. No individual date accounts for even 1.5% of the annual total.</t>
  </si>
  <si>
    <t>The day-of-week distribution spans a range of only 11 incidents from the busiest day (Sunday, 35) to the quietest (Friday, 24), with Monday (33), Thursday (28), Wednesday (27), Saturday (27), and Tuesday (26) all clustered between. Weekend incidents total 62 (31.0%) against an expected 28.6% of the week, which is nearly proportional and does not indicate a meaningful weekend "safe period." No day of the week is reliably more or less dangerous; the data is effectively flat across all seven days.</t>
  </si>
  <si>
    <t>February 2024 stands out at 28 incidents — 14% of the annual total in a single month and roughly double the per-day rate of quieter months like January (12), March (12), and November (12). However, this single-month spike does not constitute a consistent seasonal gradient. The remaining 11 months range from 12 to 21 with no clear warm-season or cool-season pattern. Heat-related incidents (6 total) weakly cluster in warmer months but are too few to establish a seasonal trend. Winter slip-and-fall events are not elevated in cold-weather months. February's density may be a statistical artifact at this sample size rather than a true structural seasonal effect.</t>
  </si>
  <si>
    <t>Two distinct clusters merit classification. First, February 2024 (February 2–27): 28 incidents in 26 days, with 8 separate two-incident days — the densest month of the year by incidents-per-day. Second, within the hourly data, the 2:00 AM hour across all 12 months constitutes a persistent spike of 17 incidents (5 in Q1, 4 in Q2, 2 in Q3, 6 in Q4), ruling out a seasonal artifact and identifying a recurring overnight hazard window. At the shortest range, October 19–21, 2024 produced 5 incidents in 3 consecutive days, and December 4–8, 2024 produced 7 incidents across 5 consecutive days — the densest short windows in the calendar.</t>
  </si>
  <si>
    <t>Count: 4 — (1) Maintenance/Lockout Failure: 20 of the dataset's equipment events occurred during maintenance, cleaning, or testing vs. 11 during normal operation, and only 2 of 200 narratives mention lockout/tagout — both to note its absence, pointing to a systemic procedural gap as the leading non-time driver of machinery incidents; (2) Texas/Florida Geographic Concentration: Texas (42 incidents, 21%) and Florida (29, 14.5%) together account for 35.5% of the dataset despite representing roughly 15% of the U.S. population, suggesting these states' industrial mix, workforce size, and reporting environment drive disproportionate representation; (3) Fractures and Amputations Dominate Outcomes: just two injury categories — fractures (74, 37%) and amputations/avulsions (54, 27%) — account for 64% of all outcomes, reflecting both the "severe injury" reporting threshold and the dataset's heavy machinery and fall event profile; (4) PPE Present but Insufficient: approximately 56 narratives (28%) note that the injured worker was wearing some form of PPE, gloves, or safety footwear at the time of injury, indicating that the hazard severity routinely exceeded the protection afforded — this is a pattern of PPE adequacy failure rather than PPE absence.</t>
  </si>
  <si>
    <t>The 2:00 AM hour is the single busiest in the dataset with 17 incidents (8.5% of all records), and the midnight-to-2:59 AM block collectively holds 36 incidents (18%). A secondary daytime cluster appears at 6:00 AM (14) and 12:00 PM (15), likely reflecting shift-start vulnerability and midday construction activity. The quietest periods are 10:00 AM (4 incidents) and 21:00–22:00 (4–6 incidents). The overnight elevation is structurally coherent and almost certainly reflects third-shift manufacturing and warehouse maintenance operations. However, beyond the overnight peak, the daytime pattern from 6 AM onward is noisy with no clean consistent arc, so the cycle cannot be called fully consistent day-to-day.</t>
  </si>
  <si>
    <t>No individual date produced an anomalous concentration warranting classification as a meaningful daily trend. The maximum count for any single day was 3 incidents, achieved on three separate dates — Saturday, October 12, 2024; Monday, October 21, 2024; and Sunday, December 8, 2024. At an average of 0.55 incidents per calendar day across the year, the dataset is too sparse at the individual-date level to establish a reliable daily cycle or identify structurally important dates beyond coincidence. The three-incident days are noted but do not constitute a pattern.</t>
  </si>
  <si>
    <t>Sunday leads all days with 35 incidents (17.5%) and Monday follows at 33 (16.5%), making the start of the week—including the Sunday "pre-week" shift—the most dangerous period. Friday is the weakest weekday at 24 incidents (12%), and Tuesday through Thursday cluster tightly at 26–28. Weekend days collectively account for 31% of incidents despite representing only 28.6% of the week, meaning the weekend is slightly overrepresented relative to expectation. The Sunday elevation is consistent with 24/7 industrial operations, reduced supervision, and maintenance cycles restarting at week's end.</t>
  </si>
  <si>
    <t>Quarterly totals are nearly flat — Q1: 52, Q2: 46, Q3: 50, Q4: 52 — differing by only 6 incidents over the full year, which is not a meaningful seasonal signal. February's 28 incidents is the single highest month (2.3× the minimum months), but it is an isolated anomaly rather than part of a broader seasonal arc; no adjacent months share the elevation. The expected summer peak in heat or outdoor injury does not appear (only 6 heat incidents, scattered from January through September). Winter months show no elevation in slip-on-ice or cold-weather injuries beyond a single narrative mention in February. The data does not support a credible seasonal cycle.</t>
  </si>
  <si>
    <t>The clearest spike is the 02:00 AM hour with 17 incidents — nearly 4× what uniform hourly distribution would predict. The broader overnight window of 00:00–02:59 AM accounts for 36 incidents (18% of the dataset). On the calendar side, the week of February 17–23, 2024 produced 10 incidents, the densest rolling 7-day window of the year. February 2024 as a whole produced 28 incidents, the highest single month by a wide margin. A secondary calendar cluster occurs in October 2024 (21 incidents), with the single busiest date in the dataset being Sunday, December 8, 2024 (3 incidents between 13:17 and 15:03).</t>
  </si>
  <si>
    <t>Count: 4 — (1) Lockout/Tagout Failure Pattern: 20 incidents (10% of dataset) are explicitly coded as injuries during maintenance, cleaning, or testing of powered equipment, and narrative review reveals additional incidents where machinery was not de-energized before servicing — pointing to a systemic safety program failure. (2) Amputation-Machinery Linkage: All 54 amputation cases (27% of the dataset) are concentrated in powered-equipment contact events, while fractures are distributed across fall and vehicle-strike events, making injury type a near-deterministic predictor of event category. (3) Texas and Florida Geographic Concentration: Texas (42 incidents, 21%) and Florida (29 incidents, 14.5%) together account for 35.5% of all national incidents, with Texas appearing at roughly twice its expected share relative to workforce size, driven heavily by oil/gas (Midland, Deer Park, Pasadena), construction, and logistics contexts. (4) Cross-Sector Outlier Events: Approximately 6–7 incidents (~3%) involve hazard categories entirely outside the manufacturing/construction core — including a workplace stabbing, a beating during custodial care, two animal attacks, an acetone ingestion, and a ski-slope fracture — confirming that OSHA's severe injury reporting captures a genuinely broad cross-section of American workplace environments.</t>
  </si>
  <si>
    <t>The 2:00 AM hour has the highest single-hour count (17 incidents), and the midnight-to-6:00 AM block holds the most incidents of any six-hour window (58, or 29% of all records). The 6:00 AM hour has a secondary peak (14 incidents) consistent with shift starts, and the noon hour also elevates (15 incidents). However, there is no consistent, repeating 24-hour cycle that can be verified day-to-day in a 200-record dataset; the distribution is too thin per day (~0.5 incidents/hour on average) to establish a reliable intraday rhythm. What exists is a directional overnight elevation and a late-morning trough (10:00 AM, 4 incidents), but these are dataset-level observations, not a confirmed recurring daily cycle.</t>
  </si>
  <si>
    <t>Three dates recorded three incidents each — Sunday, October 12, 2024; Monday, October 21, 2024; and Sunday, December 8, 2024 — and 32 additional dates recorded exactly two incidents. However, no date reached four or more incidents, and the multi-incident dates are spread across the year without a coherent causal pattern (different states, event types, and injury categories on each). The February cluster (eight double-incident days in a single month) is the most concentrated, but even there the incidents are diverse in mechanism and geography. No individual date stands out as a clear anomaly worthy of the "daily spike" label.</t>
  </si>
  <si>
    <t>Sunday (35 incidents) and Monday (33) are the highest days of the week, while Friday (24) is the lowest. However, the spread from lowest to highest is 11 incidents across 200 total records — the gap between any two days is modest. Weekday incidents total 138 (69%) versus weekend incidents of 62 (31%), which is nearly proportional to the 5:2 weekday-to-weekend ratio and not meaningfully different from random distribution. Industries operating 24/7 (warehousing, food processing, logistics, manufacturing) dominate the dataset, so no meaningful weekday-vs-weekend contrast is present. The Sunday elevation is plausible but not large enough in a dataset this size to confirm as a structural pattern.</t>
  </si>
  <si>
    <t>February is the clear outlier at 28 incidents — 67% above the 12-month average of ~16.7 and more than double January (12) and March (12). However, no clean seasonal arc exists: spring (March–May) is the lightest period (40 incidents), summer (June–August) is moderate (54), fall (September–November) is moderate (47), and winter (December–February) is elevated only because of February's spike. A true seasonal trend would require a directional multi-month progression; this data instead shows one anomalous month flanked by relatively flat surrounding months, which does not qualify as a confirmed seasonal trend.</t>
  </si>
  <si>
    <t>The clearest temporal spike is ISO Week 7 (February 12–18, 2024), which contains 10 incidents — the highest of any week and approximately 2.5× the dataset's average weekly count of ~3.9. The second-highest week is ISO Week 49 (December 1–7, 2024) with 9 incidents. At the daily level, October 20–21, 2024 produced 5 combined incidents across two consecutive days. At the hourly level, 2:00 AM is a standalone peak with 17 incidents — more than four times the counts at the quietest hours (10:00 AM and 9:00 PM, 4 incidents each). These clusters do not share common event types, locations, or causal explanations, suggesting they are sampling artifacts rather than evidence of a real-world surge event.</t>
  </si>
  <si>
    <t>Count: 4 — (1) Machinery Maintenance Amputation Pathway: The event type "Struck by running powered equipment during maintenance, cleaning, or testing" (20 incidents) is disproportionately associated with amputations; the majority of its 20 cases produced finger or hand amputations, often explicitly noting that the equipment was energized and not locked out, pointing to a systemic lockout/tagout failure pattern. (2) Texas–Florida Geographic Concentration: Texas (42) and Florida (29) together account for 35.5% of all 200 records despite representing roughly 16% of the US population, indicating either higher industry representation, reporting rates, or OSHA enforcement activity in those states. (3) Fractures Dominate Injury Outcomes at 37%: With 74 fracture cases out of 200, fractures are nearly twice as common as the second-most-frequent injury type (amputations/avulsions at ~54 combined), and they skew strongly toward lower-body sites — hips, ankles, legs — consistent with gravity-driven fall events. (4) PPE Failure and Glove Entrapment: At least three incidents explicitly note PPE was in use at time of injury; in two cases cut-resistant gloves were the proximate entrapment mechanism, being caught by machinery and pulling the worker's hand into the hazard zone — a counter-intuitive finding with implications for glove selection in high-nip environments.**</t>
  </si>
  <si>
    <t>The 2:00 AM hour leads all 24 hours with 17 incidents, and the overnight block (midnight–6 AM) is the busiest six-hour window at 58 incidents (29% of all cases). However, this does not reflect a consistent daily cycle — the hourly distribution is highly noisy, with hours ranging from 4 to 17 incidents in a way that is more consistent with shift-work variability than a repeatable intraday pattern. The 10:00 AM hour is actually the quietest daytime hour at just 4 incidents, inverting typical production-peak expectations. Because no stable, repeating peak-and-trough rhythm can be confirmed across days, the criterion for a genuine hourly trend is not met.</t>
  </si>
  <si>
    <t>Three dates recorded exactly 3 incidents each — Saturday, October 12, 2024; Monday, October 21, 2024; and Sunday, December 8, 2024 — which are the only multi-incident days in the dataset. No date reached 4 or more incidents. With a base rate of 0.55 incidents per day across ~360 days, a "3-incident day" is notable but not statistically anomalous in a 200-record sample. No single date qualifies as a meaningful spike when analyzed against the dataset's overall density, and no date-specific driver (a named event, a facility, a weather event) is identifiable from the data.</t>
  </si>
  <si>
    <t>Sunday leads the week at 35 incidents and Monday is second at 33, while Friday is the quietest at 24 — a spread of only 11 incidents across the full year. On a per-day basis, weekend days (31 incidents per day) are essentially equal to weekday days (27.6 per day), which means there is no meaningful weekday-vs.-weekend contrast. The range from Friday (24) to Sunday (35) is narrow enough to fall within reasonable random variation for a 200-record dataset, and no strong weekday dominance pattern exists. The data checked and rejected a mid-week peak, a Friday dip, and any meaningful Monday-return-to-work surge.</t>
  </si>
  <si>
    <t>February 2024 is a genuine outlier at 28 incidents — 167% of the 16.7-incident monthly average — but it does not constitute a seasonal trend on its own. The remaining months range from 12 (January, March, November) to 21 (October) with no clean summer surge, winter dip, or other recognizable seasonal arc. Heat events (6 total) are too sparse to establish a warm-season pattern. The February spike spans multiple event types simultaneously (falls, equipment, amputations) rather than being driven by a single seasonal mechanism, suggesting it is more likely a data anomaly than a recurring seasonal signal.</t>
  </si>
  <si>
    <t>The most defined cluster is October 10–21, 2024 (12 calendar days), which contains 13 incidents — roughly double the expected rate for that window. Within it, October 12 and October 21 each recorded 3 incidents, the only such dates in the dataset outside of December 8. February 2024 is the broadest monthly spike at 28 incidents versus the 16.7 average. At the hourly level, the 2:00 AM hour across the full year produced 17 incidents — 4.25x the uniform-distribution expectation of 8.3 per hour — constituting a recurring overnight concentration rather than a one-off burst. None of these clusters share an obvious single cause, though the October stretch is the most spatially and temporally concentrated anomaly in the data.</t>
  </si>
  <si>
    <t>Count: 4 — (1) Maintenance-Context Risk: Events coded as equipment strikes "during maintenance, cleaning, or testing" account for 20 incidents and are disproportionately associated with amputation outcomes; lockout/tagout language appears in only 2 of 200 narratives despite these being textbook LOTO scenarios, indicating systematic procedure non-compliance obscured by clinical event codes. (2) Hand and Finger Concentration: 60 of 200 narratives (30%) reference fingers or hands as the injured body part, a concentration far exceeding what a full-body injury dataset would produce randomly, driven by the dominance of machinery contact and cutting-tool events. (3) Geographic Skew Toward Texas and Florida: Texas accounts for 42 incidents (21%) and Florida for 29 (14.5%), together representing 35.5% of the dataset from just two states — well above their combined share of national employment, pointing to an industry-mix effect in oil, gas, construction, and food processing. (4) Fall Events as the Leading Mechanism at 40.5%: All fall-related event types combined — same-level slips, falls to lower levels, step-between-level stumbles — account for 81 of 200 incidents, making falls the single dominant injury mechanism by a wide margin over equipment contact (~55–60 incidents) and vehicle/pedestrian events (~20 incidents).</t>
  </si>
  <si>
    <t>The 2 AM hour has the highest single-hour count (17 incidents), and the overnight block (midnight–5:59 AM) holds 58 of 200 incidents (29%) — slightly above the proportional share of 25%. However, no consistent repeating hourly cycle exists day to day. The range across most hours runs between 4 and 17, with no reliable morning-peak/afternoon-trough structure. The 10 AM hour is the lowest in the dataset (4 incidents), which inverts conventional expectations. What appears is a reflection of 24-hour industrial shift work rather than a true diurnal pattern — the signal is structural, not cyclical.</t>
  </si>
  <si>
    <t>No single calendar date reaches more than 3 incidents. Three dates tie at the maximum: Saturday, October 12, 2024; Monday, October 21, 2024; and Sunday, December 8, 2024 — each with 3 records. With 200 incidents spread across roughly 360 calendar days, the dataset averages less than 0.6 incidents per day, making it statistically impossible to identify a meaningful individual-date signal. The distribution across specific dates is essentially flat noise, and no one date stands out as a true anomaly relative to base rate.</t>
  </si>
  <si>
    <t>The day-of-week distribution runs from Friday (24) to Sunday (35), with Monday at 33. The weekday/weekend split is 138 weekday vs. 62 weekend — a 69%/31% ratio nearly identical to the expected 71%/29% based on calendar proportion alone. Sunday's count of 35 is the highest single day, which prevents any claim that weekend incidents are suppressed. There is no consistent weekly structure — no reliable "dangerous Monday" or "quiet Friday" pattern that repeats across the months. The distribution is broadly flat with low-variance noise.</t>
  </si>
  <si>
    <t>Quarterly totals are nearly identical: Q1=52, Q2=46, Q3=50, Q4=52 — a range of only 6 incidents across four quarters. February is the highest single month at 28 incidents, but this is attributable almost entirely to the Week 7–8 cluster (18 incidents, February 12–24) rather than any sustained seasonal elevation. Heat-related incidents (6 total) do not cluster in summer months as expected — two occurred in September, one each in January, February, April, and May. No seasonal pattern distinguishable from noise is present in this dataset at n=200.</t>
  </si>
  <si>
    <t>The clearest spike is Week 7, February 12–18, 2024: 10 incidents — 2.6× the weekly mean of ~3.8. The adjacent Week 8, February 19–24, 2024 adds 8 more, producing a combined 18 incidents across February 12–24, 2024 — 9% of the annual dataset in 13 days. The second spike is Week 49, December 3–8, 2024: 9 incidents, including 3 on Sunday December 8 alone. Both clusters span diverse geographies and event types, suggesting statistical clustering rather than any single triggering cause. The quietest stretch is Week 4 (January 22–28, 2024) with just 1 incident.</t>
  </si>
  <si>
    <t>Count: 4 — (1) Hand/finger amputation concentration: 42 of 54 total amputations (78%) explicitly involve fingers or fingertips, driven by belt-and-pulley, brake press, slitter, and saw machinery, indicating the dataset heavily captures industrial hand trauma. (2) Maintenance context danger: "Struck by running powered equipment during maintenance/cleaning/testing" accounts for 20 of 200 incidents and 13 of 54 amputations — as dangerous per-category as normal operations, reflecting workers who bypass safety protocols when equipment is not fully secured. (3) Texas/Florida geographic overrepresentation: Texas (42 records, 21%) and Florida (29 records, 14.5%) together account for 35.5% of the dataset despite representing ~15% of U.S. population, reflecting OSHA reporting density in high-growth Sun Belt states with large construction, logistics, and food-processing workforces. (4) Overnight shift structural concentration: 58 of 200 incidents (29%) occur between midnight and 5:59 AM — above the proportional 25% share — distributed consistently across all months, indicating the dataset structurally captures 24-hour industrial operations rather than standard daytime workplaces.</t>
  </si>
  <si>
    <t>The dominant hour is 2:00 AM with 17 incidents (8.5%), followed by noon (15), 6:00 AM (14), and 2:00 PM (11). The trough hours are 10:00 AM and 9:00 PM, each with 4 incidents. The midnight-to-5:59 AM band holds 58 incidents (29.0%), nearly matching the full afternoon band (12–17:00, 56 incidents, 28.0%). This is a genuine overnight-loading anomaly, likely reflecting 24-hour industrial operations in warehousing, food processing, and utilities. The cycle is not consistent day-to-day in the sense of a single clean peak; it is multi-modal with spikes at 2 AM, 6 AM, noon, and 2 PM, suggesting multiple overlapping shift structures rather than one dominant workforce pattern.</t>
  </si>
  <si>
    <t>Only three days in the full year reached even 3 incidents: Saturday, October 12, 2024 (3); Monday, October 21, 2024 (3); and Sunday, December 8, 2024 (3). No day reached 4. The remaining 162 incident days distributed as 1–2 incidents per day, producing an average of roughly 0.55 incidents per calendar day across the year. There is no identifiable single day that functions as a meaningful outlier relative to the broader temporal baseline, and no calendar date (by day-of-month or day-of-year) shows a repeating elevation. The daily signal is essentially flat noise at this dataset size.</t>
  </si>
  <si>
    <t>Sunday leads with 35 incidents and Monday follows with 33, but Friday (24), Tuesday (26), Wednesday (27), and Thursday (28) are all closely bunched within a 9-incident spread across all five weekdays. Weekdays account for 138 incidents (69.0%) and weekends for 62 (31.0%), which on a normalized per-available-day basis gives weekends a marginally higher rate (0.596 vs. 0.531). However, the difference is small enough — and the dataset size modest enough — that it does not constitute a reliable directional finding. There is no sharp weekday vs. weekend contrast, no classic Monday spike, and no "Friday fatigue" pattern. The weekly distribution is noisy rather than structured.</t>
  </si>
  <si>
    <t>The four quarters are nearly identical: Q1 = 52, Q2 = 46, Q3 = 50, Q4 = 52, a maximum spread of only 6 incidents. Individual months range from 12 (January, March, November) to 28 (February), but this variation is not tied to seasons. February's 28 incidents is anomalous but is a single-month spike rather than a sustained seasonal elevation. Heat-exposure events, which might anchor a summer pattern, number only 6 for the full year and include incidents in January and February. No season consistently outperforms another, and the quarterly balance makes it impossible to designate a true high-risk season.</t>
  </si>
  <si>
    <t>The sharpest cluster is February 7–21, 2024: 21 incidents across 15 days, at roughly 2.5× the annual daily average. The tightest sub-window is February 12–18, 2024 (ISO Week 7): 10 incidents — the highest single-week count in the dataset. A second sustained cluster runs October 6–21, 2024: 17 incidents in 16 days, including the year's only three 3-incident days (October 12 and 21). A third cluster covers December 4–8, 2024: 8 incidents in 5 days. Outside these windows, most weeks hold 2–5 incidents with troughs of 1 (ISO Weeks 4 and 47).</t>
  </si>
  <si>
    <t>Count: 4 — (1) Finger/Hand Targeting in Amputation Events: Fingers are explicitly named in 49 of 200 narratives (24.5%) and are the primary injured body part in the majority of the dataset's 54 amputation records (27%). Workers instinctively use their hands to clear jams, guide parts, and adjust running equipment, making fingers the consistent point of contact with hazardous machinery. (2) Maintenance/Lockout Failure as a Structural Risk: 20 incidents (10%) fall explicitly under the "during maintenance, cleaning, or testing" event code, and lockout/tagout failure appears explicitly in at least 6 narratives and implicitly in many more — the phrase "the machine was not de-energized" or its equivalent recurs across food processing, metalworking, and printing contexts. (3) Texas Over-Representation: Texas accounts for 42 of 200 incidents (21%), more than double its approximate 9% share of U.S. employment, driven by concentration in oil/gas, construction, and logistics industries. (4) Fracture–Fall and Amputation–Equipment Injury Pairing: Fractures (74 records, 37%) cluster almost exclusively in fall-type events while amputations (54 records, 27%) cluster almost exclusively in caught-in and struck-by equipment events, meaning injury type is a near-reliable predictor of the hazard family — the two pairings together account for 64% of all records.</t>
  </si>
  <si>
    <t>The two peak hours are 2:00 AM (17 incidents) and 12:00 PM (15 incidents), with a secondary rise at 6:00 AM (14) and 2:00 PM (11). The quietest hours are 10:00 AM and 9:00 PM (4 each). However, this does not constitute a consistent daily cycle — the 2:00 AM peak is more than twice as large as some adjacent hours (4:00 AM has only 6), and the gap between night-shift hours and late-evening hours is erratic rather than smoothly cyclical. The midnight-to-6:00 AM block carries 58 incidents (29%), more than any other six-hour window, reflecting heavy night-shift industrial representation. Without shift-schedule metadata, there is no way to normalize by exposure hours, which is the primary reason the "cycle" label does not hold. The data shows peaks but not a reliable, repeating 24-hour rhythm.</t>
  </si>
  <si>
    <t>Three dates carry 3 incidents each — Sunday, October 12; Sunday, October 21; and Sunday, December 8, 2024 — and nine dates carry 2 incidents each. No date reaches 4 or more. With 200 incidents across ~330 reporting days, the daily average is 0.61, and 3-incident days represent only a 5× elevation above zero-incident days, not a structural spike. The distribution looks like random clustering around a low-rate Poisson process rather than calendar-driven peaks. Checking for proximity to holidays (Labor Day, Thanksgiving, New Year's) did not reveal a consistent pattern. The daily level is too granular and the counts too small to identify meaningful individual dates as true anomalies.</t>
  </si>
  <si>
    <t>Sunday (35) is the busiest day and Friday (24) the quietest, a difference of only 11 incidents across the full year. The weekend combined (Sunday + Saturday = 62) represents 31% of incidents while covering 29% of days — a nearly flat ratio. There is no meaningful weekday-versus-weekend contrast. The spread between all seven days (24 to 35) is narrow, and no day is more than ~22% above the 7-day average of 28.6. This is a flat distribution, not a weekly cycle. Sunday's slight elevation is consistent with 24/7 shift-work industries that don't observe a traditional work week, rather than a hazard-calendar effect.</t>
  </si>
  <si>
    <t>February is the outlier month at 28 incidents — more than double January (12) and March (12) and nearly 50% above the next closest month, October (21). However, the four quarterly totals are Q1=52, Q2=46, Q3=50, Q4=52, a spread of only 6 incidents across the year, which is flat. No traditional seasonal arc (e.g., summer heat-related peak or winter slip peak) is discernible at the aggregate level. Heat-exposure events (6 total) do marginally cluster in warmer months, but the sample is too small to call it a seasonal trend. February's spike is anomalous but isolated to a single month, not part of a broader cold-season or winter-quarter pattern, so the seasonal label does not apply.</t>
  </si>
  <si>
    <t>The strongest spike is the week of February 12–18, 2024, with 10 incidents — 2.6× the annual weekly average of 3.8 — spanning 9 different states with no shared geography or event type. The second-largest is December 3–8, 2024 (9 incidents), with December 8 alone recording 3 incidents (the single highest day count). A sustained cluster also appears across October 10–21, 2024 (12 incidents in 12 days), including two 3-incident days (October 12 and October 21). These three clusters are the clearest anomalies in the dataset and account for 31 of 200 incidents (15.5%) in roughly 26 days of calendar time.</t>
  </si>
  <si>
    <t>Count: 4 — (1) Equipment-Contact-During-Maintenance Hazard: "Struck by running powered equipment during maintenance, cleaning, or testing" is the second most common single event type at 20 incidents (10%), with multiple narratives explicitly noting machinery was not locked out or de-energized, making this the most identifiable systemic failure pattern; (2) Upper-Extremity Concentration: The word "finger" appears in 49 narratives (24.5%) and "hand" in 22 (11%), meaning roughly one in three incidents involves the hands or fingers, consistent with the dataset's 54 combined amputation cases (27%); (3) Geographic Concentration in Texas and Florida: Texas (42) and Florida (29) together account for 35.5% of all incidents despite neither state having a proportionally dominant share of the U.S. industrial workforce, suggesting a combination of industrial mix (oil &amp; gas, logistics, construction, agriculture) and possibly OSHA regional reporting patterns; (4) Falls as the Dominant Hazard Category: Combining all fall, slip, trip, and stumble event types produces approximately 81 incidents (40.5%), making falls the single largest hazard category by a wide margin, distributed broadly across construction, warehousing, food processing, and general industry.</t>
  </si>
  <si>
    <t>The 2:00 AM hour has 17 incidents, the highest of any hour — more than four times the quietest hour (10:00 AM, 4 incidents). The 12:00 PM hour is second at 15, and midnight (12:00 AM) is third at 10. The overnight window of 10:00 PM–6:00 AM holds exactly 70 incidents (35.0%), tied with the day shift (6:00 AM–2:00 PM, 70 incidents), and both dramatically outpace the evening shift's expected dominance. This is consistent with heavy representation of continuous-operation industries where 2:00 AM sits at the fatigue midpoint of the night shift. Day-to-day consistency of this hourly cycle cannot be assessed from 200 records, but the aggregate 2 AM spike is robust across diverse event types, injury categories, and locations.</t>
  </si>
  <si>
    <t>No individual calendar date rises above 3 incidents. Three dates tied at 3 incidents each: October 12 (Saturday), October 21 (Monday), and December 8 (Sunday). All other dates had 0, 1, or 2 incidents. With 200 incidents spread over ~360 days, the baseline expectation is 0.56 incidents per day, so reaching 3 is only modestly above expected by chance. There are no recognized holidays, industrial events, or calendar anchors associated with these three dates. The data does not support a meaningful daily trend.</t>
  </si>
  <si>
    <t>Sunday leads with 35 incidents and Friday is lowest with 24, but the gap is only 11 incidents over a full year. The weekday/weekend split is 138/62 (69.0%/31.0%), nearly identical to the expected baseline of 71.4%/28.6% given 5 weekdays versus 2 weekend days. There is no suppression of incidents on weekends nor a clear Monday-surge or Friday-dip pattern. The distribution across all 7 days is too flat to support a weekly cycle claim. Checking for a classic "mid-week dip" also yields nothing: Wednesday (27) is in the middle of the pack, not an outlier.</t>
  </si>
  <si>
    <t>February is the outlier month at 28 incidents (1.0/day), but that elevation is substantially explained by a dense administrative reporting cluster in mid-February rather than a genuine causal seasonal factor. Outside of February, monthly totals range from 12 (January, March, November) to 21 (October) — a spread that does not form a clean seasonal arc. Summer months (June–August) average 18 incidents, modestly above the year average of 16.7, but the difference is small and irregular. Heat-exposure events (only 6 total) occurred in January, February, April, May, and September (2), further undermining a clean seasonal hypothesis. The partial elevation in summer is not strong enough to qualify as a confirmed seasonal trend.</t>
  </si>
  <si>
    <t>The strongest cluster spans February 11–22, 2024 (15 incidents in 12 days), with a peak 5-day window of February 18–22 (8 incidents). A second major cluster covers October 10–21, 2024 (14 incidents in 12 days), including a peak window of October 17–21 with 8 incidents — the only period outside February to reach that density. Smaller but notable clusters appear in May 13–20 (7 incidents), August 3–9 (7 incidents), and December 3–8 (8 incidents in 6 days). The February cluster spans geographically dispersed locations across 10 different states, pointing to batch administrative reporting rather than a single industrial event. The October cluster is more self-contained, with 21 of the month's incidents concentrated in mid-to-late October.</t>
  </si>
  <si>
    <t>Count: 3 — (1) Lockout/Tagout Failure Concentration: The "struck by running powered equipment during maintenance/cleaning/testing" category generated 20 incidents and 13 amputations (24% of all 54 amputation cases), with at least 5 narratives explicitly confirming equipment was not de-energized; this makes maintenance operations without LOTO compliance the single most amputation-dense activity in the dataset. (2) Sunbelt Geographic Over-Representation: Texas (42) and Florida (29) together account for 35.5% of all incidents despite representing roughly 15–18% of the national workforce; by contrast, California contributed only 6 and Michigan only 3, suggesting this dataset reflects OSHA regional caseloads skewed toward Sunbelt industrial sectors (oil/gas, construction, food processing, warehousing) rather than a nationally proportionate sample. (3) Overnight Incident Anomaly: 70 incidents (35.0%) occurred in the 10:00 PM–6:00 AM window, with the 2:00 AM hour alone contributing 17 — a level of overnight concentration that far exceeds any standard shift-distribution assumption and points to structural night-shift risk factors including fatigue, reduced supervision, and skeleton staffing in continuous-operation industries.</t>
  </si>
  <si>
    <t>The 2:00 AM hour is the single most dangerous in the dataset with 17 incidents — more than four times the 10:00 AM trough (4 incidents). The overnight block (midnight–5:59 AM) holds 58 incidents (29.0%), the highest of the four six-hour blocks, followed closely by the midday block (noon–5:59 PM) at 56 (28.0%). The morning block (6:00–11:59 AM), which spans the primary start-of-shift period, accounts for only 48 (24.0%), making it the second-lowest block. The 2:00 AM peak is heavily weighted toward maintenance/cleaning machinery strikes (10 of 58 overnight events), consistent with scheduled overnight equipment servicing. Because the dataset does not record shift assignments, day-to-day consistency of this cycle cannot be verified, but the structural magnitude of the overnight spike is too large to attribute to chance alone.</t>
  </si>
  <si>
    <t>Three calendar dates each recorded 3 incidents: Saturday, October 12, 2024; Monday, October 21, 2024; and Sunday, December 8, 2024. However, all three "clusters" are geographically dispersed across multiple states with no shared facility, industry, or event type, making them almost certainly coincidental rather than meaningful. With only 200 incidents spread across approximately 360 calendar days, the base rate (0.56 incidents/day) is too low for multi-incident days to be statistically anomalous. No calendar date recurs or shows any structural significance.</t>
  </si>
  <si>
    <t>The weekly distribution runs: Sunday 35, Monday 33, Thursday 28, Wednesday 27, Saturday 27, Tuesday 26, Friday 24. The range from highest (Sunday, 17.5%) to lowest (Friday, 12.0%) is narrow. Weekend incidents total 62 (31.0%), nearly identical to the proportional expectation of 28.6% under a uniform distribution. There is no meaningful weekday-vs.-weekend contrast, no mid-week trough, and no Friday/Monday spike. The data was explicitly checked for a classic industrial "Monday surge" or "Friday slump" — neither is present.</t>
  </si>
  <si>
    <t>February is a pronounced outlier at 28 incidents (67% above the 16.7-incident monthly mean), but it lacks a coherent causal explanation: it spans diverse geographies, industries, and event types. No seasonal arc emerges — summer months (June 18, July 16) are not dominant despite heat-related risk, and winter months (January 12, December 19) show no cold-weather injury concentration. The one genuine seasonal sub-signal — heat-exposure incidents concentrated April–September (5 of 6 events) — applies to only 3% of the dataset and cannot anchor a full monthly trend finding. Because the February spike is isolated and unexplained, the overall monthly picture is judged flat and noisy rather than meaningfully seasonal.</t>
  </si>
  <si>
    <t>The sharpest spike in the dataset runs from February 2 through February 27, 2024, yielding 28 incidents in 26 days (~1.08/day vs. the full-year average of 0.56/day). The most concentrated sub-period is February 12–25, 2024 (Weeks 7–8), which alone accounts for 18 incidents across 14 days. By contrast, the 11-day window of May 2–13, 2024 records zero incidents — the longest quiet gap in the dataset. A secondary cluster appears in October 6–21, 2024, where 7 incidents occur in 16 days including the only two three-incident days of October.</t>
  </si>
  <si>
    <t>Count: 3 — (1) Maintenance/Cleaning Risk Concentration: Twenty incidents (10% of dataset) explicitly involve equipment under maintenance, cleaning, or testing, and roughly 70% of those result in amputations or avulsions — far above the 27.5% dataset-wide amputation rate — suggesting that unguarded or non-locked-out machinery during servicing is a critical injury-severity multiplier. (2) Geographic Sun Belt Concentration: Texas (42), Florida (29), New York (17), Ohio (13), Pennsylvania (11), and Illinois (10) jointly account for 122 of 200 incidents (61%), with the remaining states averaging fewer than 2 incidents each; this creates an analytical sample that is not geographically representative of national injury risk. (3) Parallel Injury Pathways: Falls map almost exclusively to fractures (~80% of fall outcomes), while equipment-contact events (caught/entangled + struck-by-powered-equipment) map almost exclusively to amputations and avulsions (~70%+ of those outcomes), creating two structurally distinct injury pipelines with minimal overlap.</t>
  </si>
  <si>
    <t>The 2:00 AM hour records 17 incidents — the highest of any single hour in the dataset and roughly 4x the quietest hour (10:00 AM, 4 incidents). A secondary midday accumulation exists at noon (15) and 2:00 PM (11), and the pre-dawn window of midnight through 5:59 AM accounts for 58 of 200 incidents (29.0%) despite representing only 25% of the day. This dual-peak structure (overnight and midday) is inconsistent with a standard daytime-only workforce and reflects continuous-operation industrial shift patterns. The overnight peak is present across all 12 months and across all days of the week, indicating it is structural rather than episodic. The 10:00 AM hour is a genuine trough (4 incidents), separating the overnight accumulation from the midday one.</t>
  </si>
  <si>
    <t>No single calendar date produces an incident count that qualitatively separates from the rest. Three dates — Saturday October 12, Monday October 21, and Sunday December 8, 2024 — each record 3 incidents, the dataset maximum, but in each case the incidents are geographically dispersed (different states, different industries), ruling out a site-specific event. An unusually high density of 2-incident dates occurred during February 4–22, 2024 (7 dates in 18 days), which drove February's overall record of 28 incidents, but this is better characterized as a monthly/cluster effect than a single notable day. No individual date rises to the level of a genuine daily anomaly.</t>
  </si>
  <si>
    <t>Monday (33) and Sunday (35) are the two highest days, but the full range across all seven days spans only 24 (Friday) to 35 (Sunday) — an 11-incident spread across 200 records. Weekend incidents (Saturday + Sunday = 62) represent 31% of all events, nearly proportional to weekends' 28.6% share of calendar days. There is no meaningful weekday/weekend contrast, no "Monday morning hazard" effect, and no "Friday fatigue" signal. The week-level data (weekly ISO counts) similarly shows no recurring weekly rhythm — weekly totals fluctuate between 1 and 10 without any structural periodicity. The flatness of day-of-week data is itself informative (continuous-operation industries run 7 days) but it does not constitute a weekly cycle trend.</t>
  </si>
  <si>
    <t>Seasonal totals are Winter 52, Spring 46, Summer 50, Fall 52 — a spread of just 6 incidents across seasons, representing a 13% difference between the highest and lowest, which is not analytically meaningful in a 200-record sample. The one genuine monthly outlier is February at 28 incidents (more than double January's 12 and March's 12), but this is not part of a broader winter trend — adjacent cold months are at their annual lows, not highs. Heat-related incidents (6 total) show a mild warm-season skew, with 4 occurring April–September, but the count is too small to confirm a seasonal pattern. Overall, the year-round distribution is too flat to characterize any season as structurally more dangerous.</t>
  </si>
  <si>
    <t>The February 4–22, 2024 window (18 days) produced 7 separate dates with 2+ incidents and a monthly total of 28 — the year's highest by a wide margin — making it the clearest sustained cluster in the dataset. At the weekly level, ISO Week 7 (February 12–18, 2024) recorded 10 incidents, the highest single-week count of the year, followed by Week 49 (December 2–8, 2024) at 9. At the hourly level, the 2:00 AM–2:59 AM window across the full year represents 17 incidents — a persistent, year-round spike at a single clock-hour. October 2024 constitutes a secondary cluster (21 incidents), including three-incident dates on both October 12 and October 21. No incident dates show geographic co-location suggesting a single site disaster.</t>
  </si>
  <si>
    <t>Count: 4 — (1) Geographic concentration: Texas (42, 21%) and Florida (29, 14.5%) together account for 35.5% of all incidents, and just 8 states account for 66% of the dataset, reflecting the distribution of manufacturing, oil-and-gas, logistics, and construction rather than population alone. (2) Fall dominance: Falls in all forms (same-level slips, lower-level falls, ladder falls) account for 77 of 200 incidents (38.5%), nearly double the next-largest event category, making elevation, surfaces, and ladder transitions the single most prevalent hazard class. (3) Amputation/avulsion as the dominant severe outcome: 55 of 200 incidents (27.5%) resulted in documented amputation or avulsion, consistently linked to unguarded or energized machinery — a systemic machine-guarding and LOTO failure pattern visible across industries. (4) Maintenance-window hazard concentration: The specific event-type "Struck by running powered equipment during maintenance, cleaning, testing" accounts for 20 incidents (10%) on its own, forming a coherent sub-pattern of workers injured by equipment that was not de-energized before servicing.</t>
  </si>
  <si>
    <t>The 2 AM hour is the single busiest in the dataset at 17 incidents, followed by noon (15) and 6 AM (14). The overnight block of midnight–5:59 AM totals 58 incidents (29% of all records) despite representing only 25% of the clock, driven especially by maintenance/cleaning equipment contact events (10 of the 58 overnight incidents). A secondary midday peak at noon is consistent with the return from any rest break or the peak of first-shift physical labor. The quietest hours are 10 AM and 9 PM, each with just 4 incidents. The day-to-day consistency of this cycle cannot be validated from a 200-record annual sample, but the 2 AM peak is distributed across many months rather than concentrated in one period, suggesting it reflects a genuine operational pattern in night-shift manufacturing and logistics.</t>
  </si>
  <si>
    <t>Three dates record 3 incidents each — Saturday, October 12, 2024; Monday, October 21, 2024; and Sunday, December 8, 2024 — and 32 additional dates record 2 incidents. However, the remaining ~165 dates produce 0 or 1 incident, and no repeating calendar driver (e.g., first Monday, payroll day, shift rotation) explains which dates cluster. With 200 incidents spread over ~366 days and a maximum of 3 incidents on any single day, there is no statistically meaningful "dangerous date" pattern. The checked condition — a recurring, explainable within-month or calendar-day pattern — is absent.</t>
  </si>
  <si>
    <t>Sunday has the highest raw count at 35 and Monday is second at 33, while Friday (24) and Tuesday (26) are the lowest. Weekdays account for 138 incidents (69%) and weekends for 62 (31%), which is very close to the 71.4%/28.6% proportional baseline for a 5-day/2-day split. No clear weekday-over-weekend safety contrast exists; the Sunday elevation is notable but explained by 24/7 industrial operations rather than a true weekly cycle. A true "weekly cycle trend" would require a consistent rise-and-fall pattern across the week (e.g., Monday high → Friday low), which is absent here — the distribution is essentially flat across the seven days.</t>
  </si>
  <si>
    <t>February is a pronounced outlier at 28 incidents, but this is largely attributable to a cluster in Weeks 7–8 (18 of the 28 incidents fall in a single 14-day span) rather than a month-wide environmental or operational driver. Seasonally, winter (Jan+Feb+Dec) totals 59, summer 54, fall 47, and spring 40 — a range of only 19 incidents separates the highest from the lowest season. There is no consistent directional seasonal signal (e.g., "summer peaks," "winter troughs"). Heat-related events (6 total) do concentrate in warmer months, but 6 events out of 200 cannot carry a seasonal conclusion for the dataset overall.</t>
  </si>
  <si>
    <t>The clearest cluster is February 12–25, 2024 (ISO Weeks 7–8), which produced 18 incidents in 14 consecutive days — the densest two-week window in the entire year. The next-highest comparable window is December 1–8, 2024, with 9 incidents in 8 days. Within the daily cycle, the 2:00 AM hour functions as a persistent spike at 17 incidents across the full year, compared to an average of ~8.3 incidents per hour across the 24-hour clock. Three individual calendar dates — October 12, October 21, and December 8 — each record 3 incidents in a single day, the highest daily concentration observed.</t>
  </si>
  <si>
    <t>Count: 4 — (1) LOTO/Equipment-Energized Gap: The second-most-common event type is equipment contact during maintenance/cleaning (20 incidents); at least 5 narratives explicitly note the machine was not locked out or de-energized, and the broader category suggests systemic guarding and energy-control failures across manufacturing and food processing industries. (2) Finger/Amputation Dominance: Fingers are the most-mentioned body part (49 narratives) and amputations account for 27% of all injuries (54 records), disproportionately involving brake presses, circular saws, belt-and-pulley systems, and cleaning of food processing equipment — pointing to a persistent machine-guarding and hand-placement safety failure. (3) Texas/Florida Geographic Concentration: Two states — Texas (42 incidents, 21%) and Florida (29 incidents, 14.5%) — together account for 35.5% of all 200 records, far exceeding their share of even the U.S. industrial workforce, suggesting either higher reporting compliance, a denser at-risk workforce in those states' dominant industries (oil/gas, construction, logistics, warehousing), or both. (4) PPE Present, Injury Still Occurs: Gloves, safety shoes, or other PPE are affirmatively mentioned in 56 narratives (28% of records), indicating that protective equipment was worn but failed to prevent injury — a consistent pattern suggesting that the injury mechanisms in this dataset (crush, entanglement, projectile) routinely defeat standard PPE rather than being caused by its absence.</t>
  </si>
  <si>
    <t>The dataset exhibits distinct peaks at 2:00 AM (17 incidents, 8.5%), 12:00 PM (15 incidents, 7.5%), and 6:00 AM (14 incidents, 7%). The presence of a dominant overnight peak at 2:00 AM is somewhat counterintuitive and highlights significant off-hour workplace risks. Upon cross-referencing days of the week, I confirmed this cycle is surprisingly consistent day-to-day rather than being driven by an isolated anomaly. The daily rhythm demonstrates that workers are consistently vulnerable during these three distinct shift-transition or late-night windows.</t>
  </si>
  <si>
    <t>I checked for any specific outlier dates or anomalous 24-hour cycles that would signify an extreme event, but the data is generally flat and noisy. No massive single-day anomalies occurred, as the highest counts reached only 3 incidents on individual dates like Sunday, December 8, 2024, Saturday, October 12, 2024, and Monday, October 21, 2024. The daily frequency distribution does not reveal a consistent or meaningful standalone daily trend. The absence of a massive, concentrated day points to a steady trickle of accidents rather than one-off catastrophic dates.</t>
  </si>
  <si>
    <t>There is a surprising weekend-heavy distribution, with Sunday (35 incidents, 17.5%) and Monday (33 incidents, 16.5%) acting as the most dangerous days of the week. Contrastingly, Friday sees the lowest overall injury count at exactly 24 incidents. Even though weekends only comprise two days, they average an alarming 31 incidents per day compared to the standard weekday average of 27.6. This sharp contrast suggests that non-standard work shifts, potentially featuring reduced supervision or higher fatigue, carry significantly elevated risks.</t>
  </si>
  <si>
    <t>Despite being the shortest month of the calendar year, February saw a massive peak with 28 incidents, accounting for 14% of the dataset. October emerged as the second highest with 21 incidents (10.5%), highlighting specific monthly risk periods rather than broad seasonal sweeps. Early winter and early spring months, specifically January, March, and November, safely bottomed out at just 12 incidents each. This reveals clear shifts tied to specific individual months rather than a generalized quarter-by-quarter seasonal pattern.</t>
  </si>
  <si>
    <t>Two distinctly concentrated three-day clusters emerged when analyzing a rolling time window across the calendar year. Between February 12–14, 2024, there was an unusual burst where exactly 6 severe incidents were recorded. A nearly identical spike occurred later in the year between October 19–21, 2024, which also recorded a tight cluster of exactly 6 incidents. These tight temporal ranges point to micro-bursts of workplace hazards that temporarily, but significantly, escalate severe injury counts.</t>
  </si>
  <si>
    <t>Count: 3 — (1) Geographic Concentration: Texas and Florida heavily dominate the data, making up 42 (21%) and 29 (14.5%) of the 200 respective incidents; (2) Injury Severity: Fractures are overwhelmingly the most common injury at 74 occurrences (37%), followed by a staggering 54 combined amputations (27%); (3) Event Triggers: Falls on the same level (22 incidents, 11%) and being struck by running powered equipment during maintenance (20 incidents, 10%) are the top causes of severe injury. These non-time factors highlight critical structural issues regarding where and how workers are most vulnerable. The shockingly high rate of amputations combined with maintenance-related accidents strongly suggests ongoing failures in standard lockout/tagout procedures.</t>
  </si>
  <si>
    <t>The data shows strong and consistent peak hours rather than a flat distribution. The most dangerous single hour is 2:00 AM with 17 incidents, while the noon hour (12:00 PM) also spikes with 15 incidents. A distinct three-hour risk window exists from midnight to 2:59 AM, capturing 18% of the entire dataset.</t>
  </si>
  <si>
    <t>There is no overarching, predictable pattern regarding specific calendar days across the year. The data is mostly flat and noisy, with the vast majority of dates experiencing zero or one incident. While a few isolated dates, such as Sunday, December 8, 2024, spiked to three incidents, this does not constitute a reliable daily trend.</t>
  </si>
  <si>
    <t>The weekly distribution runs counter to typical five-day workweek expectations. Sunday leads the entire week with 35 incidents, followed by Monday with 33 incidents, whereas Friday is the lowest at 24. Proportionally, the two-day weekend carries a higher daily average of incidents than the five-day workweek, highlighting a consistent vulnerability.</t>
  </si>
  <si>
    <t>The month-to-month data is highly erratic and fails to form a cohesive seasonal curve. February is a massive anomaly with 28 incidents, but surrounding months like January and March drop to just 12 incidents each. Because the peaks are jagged (spiking again in October with 21 but dropping in November to 12), a true seasonal pattern is entirely absent.</t>
  </si>
  <si>
    <t>Clear incident clusters occur within highly specific multi-day and multi-hour windows. A distinct three-day burst happened from February 12–14, 2024, resulting in 6 consecutive incidents, while October 19–21, 2024, saw an escalating cluster that also totaled 6 incidents. Additionally, the 12:00 AM to 2:59 AM timeframe serves as a dense, recurring cluster for severe injuries.</t>
  </si>
  <si>
    <t>Count: 2 — (1) Geographic Concentration: Texas (42 cases) and Florida (29 cases) disproportionately dominate the dataset, accounting for over 35% of all incidents combined, which indicates localized industrial risks. (2) Injury Type Dominance: The dataset is severely skewed toward structural trauma, with Fractures (74 cases) and Amputations (54 cases) making up 64% of all reports, indicating widespread failures in mechanical safeguarding.</t>
  </si>
  <si>
    <t>There is a clear and unusual peak in the middle of the night, with 2:00 AM recording the highest number of incidents (17). Another secondary peak occurs at 12:00 PM (15 incidents). Trough hours are seen at 10:00 AM and 9:00 PM (4 incidents each). The cycle suggests consistent, dangerous late-night shift operations rather than a standard daytime work cycle.</t>
  </si>
  <si>
    <t>I checked the data for specific calendar days that stood out as uniquely dangerous, but the distribution was flat. The highest incident count for any single date (such as December 8 or October 12, 2024) was exactly 3. In a dataset of 200 records spread over a year, 3 incidents on a single day is merely statistical noise rather than a meaningful pattern.</t>
  </si>
  <si>
    <t>I checked for a standard weekday-versus-weekend contrast, but the distribution is surprisingly flat and slightly inverted. Sunday is technically the peak (35 incidents) while Friday is the trough (24 incidents), but the spread is narrow. Weekends account for 31% of the incidents, showing no partial or full pause in hazardous operations compared to Monday through Friday.</t>
  </si>
  <si>
    <t>There is a clear monthly anomaly, with February significantly outpacing the rest of the year at 28 incidents. The data also exhibits a seasonal lean toward Winter (59 total incidents). Spring months proved to be the safest, accumulating only 40 incidents combined.</t>
  </si>
  <si>
    <t>I identified two distinct clusters in the data. Calendrically, an unusual burst of 9 severe incidents occurred over a 5-day window from February 10–14, 2024. Chronologically, a severe cluster happens in the early morning darkness, with 39 incidents grouped exactly between 2:00 AM and 5:59 AM.</t>
  </si>
  <si>
    <t>Count: 3 — (1) Geographic Concentration: Texas and Florida account for over 35% of all injuries combined, indicating massive regional industrial volume; (2) Injury Severity: Fractures dominate the dataset at 37%, followed closely by traumatic amputations; (3) Primary Hazards: Slips/trips and strikes from powered equipment are the leading causes of these severe injuries.</t>
  </si>
  <si>
    <t>I checked the distribution of incidents across a 24-hour clock to see if injuries align with a traditional workday. Instead, the data is entirely erratic, with the highest peak unexpectedly occurring at 2:00 AM (17 incidents). Other high counts appeared at 12:00 PM (15) and 6:00 AM (14), while 10:00 AM and 9:00 PM saw extreme troughs of just 4 incidents each. Because the peaks are disjointed and do not follow a standard operational bell curve, the daily cycle cannot be considered consistent.</t>
  </si>
  <si>
    <t>I examined the data grouped by exact dates to identify if certain days generated substantial injury volume. The highest count recorded on any individual day was only three incidents, which occurred on isolated dates like October 21 and December 8, 2024. Because the data represents just 200 incidents spread sparsely across 365 days, the distribution remains inherently flat and scattered. Consequently, no meaningful daily trend qualifies as a clear pattern.</t>
  </si>
  <si>
    <t>I compared incident counts across the seven days of the week, looking for a potential drop-off on weekends. Surprisingly, Sunday logged the highest total with 35 incidents, while Friday had the lowest at 24. A comparison of average daily rates showed weekends actually pacing slightly higher (31 per day) than weekdays (27.6 per day). Given the small margins between the strongest and weakest days and the lack of a stark weekday-weekend contrast, this trend does not signify a consistent cycle.</t>
  </si>
  <si>
    <t>I mapped the incidents across all twelve months to spot seasonal influences like summer heat or winter weather. While February stood out distinctly with a peak of 28 incidents, the surrounding months did not support a sustained seasonal wave. Months like January, March, and November tied for the lowest counts with 12 incidents each, showing purely scattered variations. Since there is no coherent, continuous shift tied to a specific season, the trend pattern is disqualified.</t>
  </si>
  <si>
    <t>I ran rolling totals to identify unusual bursts of severe injuries over tight timeframes. The analysis revealed two distinct anomaly windows that significantly exceeded the daily baseline of approximately 0.5 incidents. Specifically, the date range of October 19–21, 2024, logged a cluster of 6 incidents, and a matching cluster of 6 incidents appeared between February 12–14, 2024. These isolated, concentrated bursts demonstrate a definitive short-term spike pattern.</t>
  </si>
  <si>
    <t>I aggregated the categorical descriptions of the incidents to find recurring non-chronological factors. This review highlighted heavy structural concentrations in the types of injuries, causes, and geographic locations. Count: 3 — (1) Geography: A disproportionate volume of injuries is localized to two states, with Texas (42) and Florida (29) comprising over a third of the dataset; (2) Injury Severity: Fractures are the dominant nature of injury (74 cases), followed closely by various amputation categories (54 cases); (3) Event Causes: Slips/trips on the same level (22 cases) and machinery strikes during maintenance (20 cases) are the primary culprits for severe workplace accidents.</t>
  </si>
  <si>
    <t>The data reveals an irregular daily cycle that ignores standard workday hours. The deepest trough occurs in the late evening, hitting a low of 4 incidents at 9:00 PM. The cycle is punctuated by sharp, consistent hazard peaks at 2:00 AM (17 incidents) and 12:00 PM (15 incidents), indicating risks heavily associated with mid-day transitions and deep night shifts.</t>
  </si>
  <si>
    <t>I checked the dataset for significant single-day anomalies but found the distribution to be relatively flat and noisy. The maximum number of incidents on any single date was only three. This occurred on exactly three days: Sunday, December 8, 2024; Saturday, October 12, 2024; and Monday, October 21, 2024, representing a steady day-to-day trickle rather than a meaningful daily trend.</t>
  </si>
  <si>
    <t>The typical weekday vs. weekend safety paradigm is entirely flipped in this dataset. Sunday emerges as the most dangerous day of the week with 35 incidents, while Friday is the safest with just 24. Weekends as a whole remain highly active, accounting for nearly a third of all severe injuries (62 incidents) and proving that risk is sustained heavily outside standard workdays.</t>
  </si>
  <si>
    <t>The data fluctuates significantly month-to-month rather than maintaining a steady average. February serves as an unusual peak with 28 incidents (14% of the total), alongside a strong secondary surge in October with 21 incidents. Meanwhile, January, March, and November represent the clearest seasonal troughs, registering only 12 incidents each.</t>
  </si>
  <si>
    <t>An unusual burst of incidents occurs in the narrow, isolated window of 2:00 AM–2:59 AM. This specific range contains 17 incidents, which is nearly double the counts of the immediately adjacent hours. This non-sustained burst strongly suggests a shift-specific fatigue or operational hazard bottleneck.</t>
  </si>
  <si>
    <t>Count: 3 — (1) Geographic Concentration: Texas and Florida dominate the dataset, accounting for 42 and 29 incidents respectively, or over 35% combined; (2) Injury Severity: Fractures (74 incidents) and amputations (54 incidents) make up roughly two-thirds of all severe injuries in the dataset; (3) Maintenance Hazards: Being struck by powered equipment specifically during maintenance, cleaning, or testing was a leading event type with 20 incidents.</t>
  </si>
  <si>
    <t>An analysis of the dataset reveals distinct peaks that disrupt an otherwise flat hourly distribution. The highest volume of severe injuries occurs at 2:00 AM, with 17 incidents, suggesting heightened risks during overnight shifts. Additional peaks are visible at 12:00 PM with 15 incidents and 6:00 AM with 14 incidents, which closely align with midday operations and morning shift transitions. Conversely, mid-morning (10:00 AM) and late evening (9:00 PM) show significant troughs, logging only 4 incidents each. This recurring cycle demonstrates that risk is not uniformly distributed throughout the workday, confirming a clear time-of-day trend.</t>
  </si>
  <si>
    <t>When observing the data on a purely day-to-day basis, there is no consistent daily pattern that indicates heightened risk. The vast majority of individual calendar dates throughout the year register either zero or one to two incidents, reflecting standard background noise. A few isolated dates, such as December 8, October 12, and October 21, 2024, each logged exactly three incidents. However, these are sporadic occurrences rather than a structurally important daily rhythm. Because no single calendar day drives a significant portion of the total injuries, the daily trend remains definitively flat.</t>
  </si>
  <si>
    <t>The distribution of severe injuries across the seven days of the week remains relatively balanced, lacking a definitive cycle. Sundays recorded the highest number of incidents at 35, closely followed by Mondays at 33, while Fridays saw the lowest at 24. Despite these minor fluctuations, the contrast between the weekday and weekend is negligible, with weekend days averaging 31 incidents compared to a weekday average of roughly 27.6. The consistency across all seven days indicates that workplace hazards in this dataset do not respect traditional workweek boundaries. Consequently, no robust weekly cycle can be confirmed from the slightly noisy variance.</t>
  </si>
  <si>
    <t>An examination of incident volume across months reveals a noisy and fractured distribution rather than a smooth seasonal curve. The dataset peaks abruptly in February with 28 incidents, followed by other disparate highs in October (21 incidents) and August (20 incidents). Meanwhile, traditionally harsh months like January and November share the lowest counts of the year at 12 incidents each, alongside March. Because the peaks and troughs jump erratically and do not cluster around a recognizable climate or quarterly business season, the broader monthly pattern is essentially flat. The fluctuations appear to be driven by random variance rather than a systemic seasonal shift.</t>
  </si>
  <si>
    <t>While broad time horizons appear flat, tightly concentrated bursts of severe injuries emerge when analyzing the data dynamically. A prominent cluster occurred between October 19–21, 2024, generating 6 severe incidents in just a 72-hour window. A practically identical spike took place from February 12–14, 2024, which also recorded 6 events within three days. These dense pockets of activity suggest that although injuries seem random over a month, they frequently cluster together in short, intense bursts. Such micro-spikes indicate localized periods of heightened operational failure across the reported facilities.</t>
  </si>
  <si>
    <t>Count: 3 — (1) Geographic Hotspots: Texas and Florida heavily skew the dataset, registering 42 and 29 incidents respectively, which together account for over 35% of all injuries reported; (2) High-Severity Injury Types: Bone fractures are the dominant consequence of these accidents with 74 cases (37%), while amputations follow closely behind with 54 cases (27%); (3) Mechanical and Elevation Hazards: Falls constitute a massive trigger event with 77 recorded cases (38.5%), often pairing alongside machinery entanglement to represent the leading causes of severe injury. The data clearly shows that risk is heavily concentrated in specific states and driven by gravity-based or mechanical hazards. Furthermore, these triggers disproportionately result in severe structural bodily trauma rather than minor lacerations. This non-time-based clustering provides a much stronger predictive baseline than most of the temporal data analyzed. Ultimately, where an employee works and what physical forces they interact with dictate their risk much more than the time or date.</t>
  </si>
  <si>
    <t>I checked the hourly distribution and found notable peaks at 2:00 AM (17 incidents) and 12:00 PM (15 incidents), with troughs at 10:00 AM and 9:00 PM. However, because the dataset only contains 200 incidents spread across an entire year, this cycle is incredibly sparse and not consistent day-to-day. The lack of daily repeatability means this trend is only partial and fails to qualify as a consistent daily cycle.</t>
  </si>
  <si>
    <t>I reviewed the data for single days with unusually high incident rates. The distribution is remarkably flat and noisy, with the maximum occurrences being a mere three incidents on dates like Sunday, December 8, 2024, and Monday, October 21, 2024. Because nearly every day in the dataset has either zero, one, or two events, there is no meaningful daily pattern or standout day to qualify as a trend.</t>
  </si>
  <si>
    <t>Sunday is the most dangerous day of the week, recording 35 incidents (17.5%), closely followed by Monday with 33 incidents. Conversely, Friday is the safest day, seeing only 24 incidents (12%). The weekend as a whole accounts for a surprisingly high 62 incidents, demonstrating that severe injuries heavily overlap with weekend shifts rather than isolating to a traditional Monday-to-Friday workweek.</t>
  </si>
  <si>
    <t>I checked the distribution of injuries across months and traditional seasons to see if winter, summer, or specific quarters carried higher risk. While February contains a notable peak of 28 incidents (14%), the surrounding winter months of January and December are comparatively low. Because the high and low months are scattered somewhat randomly throughout the year without a coherent, continuous seasonal wave, this does not qualify as a true seasonal trend.</t>
  </si>
  <si>
    <t>There is a distinct, concentrated burst of incidents spanning exactly October 18–21, 2024. During this four-day period, 8 severe injuries occurred across the country, culminating in 3 incidents on October 21 alone. This localized cluster represents 4% of the entire year's incidents happening in just a 96-hour window, making it a definitive temporal anomaly.</t>
  </si>
  <si>
    <t>Count: 2 — (1) Geographic Concentration: Texas (42 incidents) and Florida (29 incidents) dominate the dataset, accounting for 35.5% of all reported severe injuries, pointing to disproportionate regional risk; (2) Injury Typology: Fractures (74 incidents) and amputations (54 incidents) are overwhelmingly the most common outcomes, making up 64% of all reports and heavily involving extremities like fingers, hands, and feet.</t>
  </si>
  <si>
    <t>The dataset shows a measurable overnight concentration. The 2:00 AM hour alone recorded 17 incidents, the highest of any hour, while the 12:00 AM–3:59 AM window contained 45 incidents, or 22.5% of all records. A secondary daytime concentration appeared around 12:00 PM–2:59 PM, especially at noon with 15 incidents. However, incidents still occurred across every hour of the day, so the cycle is moderate rather than perfectly stable. The overnight concentration is reinforced by many maintenance, cleaning, and machinery-intervention narratives occurring during off-shift hours.</t>
  </si>
  <si>
    <t>The analysis checked for repeated high-volume calendar dates, holiday clustering, and recurring month-end or beginning-of-month effects. The largest visible single-day totals were only 3 incidents, occurring on Saturday, October 12, 2024; Monday, October 21, 2024; and Sunday, December 8, 2024. Several dates in February and August contained 2 incidents each, but no sustained daily surge pattern emerged. The distribution behaves more like continuous operational randomness than a true recurring daily cycle.</t>
  </si>
  <si>
    <t>Sunday recorded the highest count with 35 incidents, while Friday recorded the lowest with 24. Weekends accounted for 62 incidents total, representing 31% of all cases despite weekends only covering two days of the week. This suggests elevated operational exposure outside standard weekday schedules. The contrast is meaningful but not extreme, indicating a moderate weekly cycle rather than a sharply polarized weekday/weekend divide. Continuous-operation industries such as warehousing, manufacturing, transportation, and maintenance likely contribute to the elevated Sunday activity.</t>
  </si>
  <si>
    <t>February was the busiest month with 28 incidents, followed by October with 21 and August with 20, while January, March, and November each had only 12. Heat-related illnesses became more common between April and September, including incidents in Dayton on April 20, Independence on May 17, Denton on September 19, and Fort Worth on September 24. However, slip-and-fall injuries persisted year-round rather than remaining winter-specific. The data therefore supports a real but uneven seasonal effect with multiple operational peaks rather than one dominant seasonal cycle.</t>
  </si>
  <si>
    <t>The strongest cluster occurred between 12:00 AM–3:59 AM, where 45 incidents were recorded. This period disproportionately featured machinery maintenance, cleaning, testing, conveyors, and powered industrial equipment incidents. At the date level, the highest visible daily spike was 3 incidents on October 12, 2024; October 21, 2024; and December 8, 2024. Monthly clustering also appeared in February (28 incidents), August (20), and October (21). The clustering is operationally meaningful but not extreme enough to indicate outbreak-style surges.</t>
  </si>
  <si>
    <t>Count: 5 — (1) Finger/Hand Trauma Dominance: A large share of severe injuries involved fingertips, thumbs, hands, or crush amputations caused by presses, conveyors, shears, cutters, and powered equipment; (2) Maintenance Hazard Exposure: Many incidents occurred during machine cleaning, troubleshooting, jam clearing, or maintenance rather than ordinary production operation; (3) Forklift and Vehicle Risk: Forklifts, pallet jacks, industrial vehicles, and moving equipment repeatedly appeared across warehousing, manufacturing, and logistics incidents; (4) Fall Diversity: Falls occurred from ladders, stairs, mezzanines, truck steps, platforms, and same-level slips, showing broad environmental exposure rather than one dominant fall mechanism; (5) PPE Present but Insufficient: Multiple narratives explicitly mentioned gloves, safety shoes, or PPE being worn even when amputations, fractures, or crush injuries still occurred.</t>
  </si>
  <si>
    <t>The dataset showed mild hourly concentration but not a stable repeating cycle. The highest hour was 2:00 AM with 17 incidents, followed by the 12:00 PM hour with 15 and the 6:00 AM hour with 14. Overnight incidents (12:00 AM–5:59 AM) represented 29% of all records, but daytime incidents were nearly as common. The distribution across all four major time blocks remained relatively balanced, indicating severe injuries occur continuously across shifts rather than following a strong hourly rhythm.</t>
  </si>
  <si>
    <t>A few individual dates had elevated counts, including Sunday, December 8, 2024; Monday, October 21, 2024; and Saturday, October 12, 2024, each with 3 incidents. However, most dates contained only one incident. There was no prolonged run of unusually high daily activity. The data therefore does not support a consistent or repeatable calendar-day trend.</t>
  </si>
  <si>
    <t>Sunday had the highest incident count with 35 cases, while Friday had the fewest with 24. Weekdays accounted for 138 incidents and weekends for 62. Although weekends appear somewhat elevated relative to their share of calendar days, the spread across weekdays and weekends remained fairly even overall. The variation was not strong enough to qualify as a clear weekly cycle.</t>
  </si>
  <si>
    <t>February recorded the highest monthly count with 28 incidents, while January, March, and November each had 12. Quarterly totals were extremely balanced: Q1 and Q4 each had 52 incidents, Q2 had 46, and Q3 had 50. Heat-related illnesses appeared more frequently in warmer months and slip/ice incidents appeared during colder periods, but the overall dataset lacked strong seasonality. The evidence supports year-round operational risk rather than a meaningful seasonal cycle.</t>
  </si>
  <si>
    <t>The strongest temporal micro-cluster occurred from October 12–21, 2024, during which 10 incidents were recorded. Another dense period occurred from February 18–27, 2024, also with 10 incidents. The 2:00 AM hour contained 17 incidents, making it the single densest hourly cluster. However, the clustering was moderate rather than extreme and was often tied to recurring operational activities such as maintenance, forklift movement, and machine cleaning.</t>
  </si>
  <si>
    <t>Count: 4 — (1) Machinery Maintenance Hazard: A large share of amputations and crushing injuries occurred during troubleshooting, cleaning, jam clearing, or servicing energized equipment; (2) Finger and Hand Injury Concentration: Hand and fingertip amputations repeatedly appeared across saws, conveyors, presses, and rotating machinery, indicating persistent pinch-point and blade exposure; (3) Falls as a Persistent Baseline Risk: Slip, trip, ladder, stair, and same-level falls occurred continuously across industries and environments rather than clustering in one work setting; (4) Forklift and Material Handling Exposure: Forklifts, pallet jacks, conveyors, carts, and shifting materials appeared repeatedly in crushing, fracture, and struck-by incidents across warehouse and logistics operations.</t>
  </si>
  <si>
    <t>The dataset does not show a clean or consistently repeating hourly cycle. The highest single hour was 2:00 AM with 17 incidents, followed by 12:00 PM with 15 and 6:00 AM with 14, but incidents were distributed across nearly all hours. Overnight hours (12:00 AM–5:59 AM) accounted for 58 incidents versus 38 during 6:00 PM–11:59 PM, indicating elevated overnight operational exposure. However, the spread was broad enough that no stable day-to-day hourly rhythm clearly dominates the dataset.</t>
  </si>
  <si>
    <t>Sundays had the highest count with 35 incidents and Fridays had the fewest with 24, but the spread across days was relatively small. Only a few dates showed elevated activity, including Saturday, October 12, 2024 (3 incidents) and Monday, October 21, 2024 (3 incidents). Most dates contained only one severe injury report. Because there was no sustained concentration around specific recurring dates or day types, the dataset does not support a strong daily trend classification.</t>
  </si>
  <si>
    <t>Weekdays accounted for 138 incidents (69.0%) while weekends accounted for 62 (31.0%), which reflects normal operational scheduling rather than a pronounced weekly cycle. Sunday surprisingly had the single highest day-of-week total at 35 incidents, while Monday followed closely with 33. The counts for Tuesday through Saturday remained tightly grouped between 24 and 28 incidents. Since no weekday consistently separated itself from the others in a meaningful way, the evidence does not support a strong weekly cycle trend.</t>
  </si>
  <si>
    <t>February recorded the highest monthly total with 28 incidents, while January and March each had 12. Quarterly totals were nearly flat: Q1 had 52 incidents, Q2 had 46, Q3 had 50, and Q4 had 52. Heat-related injuries appeared more often from spring through early fall, while ice-related slip incidents appeared during colder periods. However, overall injury volume remained remarkably stable across the year, so the dataset does not show a true seasonal volume cycle.</t>
  </si>
  <si>
    <t>The clearest cluster was operational rather than calendar-based. Between 12:00 AM and 5:59 AM, there were 58 incidents, representing 29.0% of the entire dataset. Powered equipment incidents formed another concentrated cluster, with 43 total machine-related events and 20 specifically tied to maintenance, cleaning, or testing activities. Calendar spikes were weak overall, though October 12, 2024 and October 21, 2024 each recorded 3 incidents.</t>
  </si>
  <si>
    <t>Count: 3 — (1) Machine Hand Injuries: The dataset repeatedly shows fingers and hands being amputated, crushed, or lacerated during interaction with presses, conveyors, saws, grinders, rollers, and cutters, especially during maintenance or jam-clearing activities; (2) Severe Same-Level Falls: Ordinary slips, trips, and balance losses frequently resulted in major fractures including hips, femurs, ankles, and wrists, showing that catastrophic outcomes were not limited to high-elevation falls; (3) Industrial Vehicle Exposure: Forklifts, pallet jacks, order pickers, reach trucks, and similar warehouse transport systems appeared in at least 12 incidents involving crushing injuries, fractures, collisions, or amputations.</t>
  </si>
  <si>
    <t>The dataset shows a measurable hourly concentration pattern, especially during overnight operations. The busiest hour was 2:00 AM–2:59 AM with 17 incidents (8.5% of all records), followed by noon with 15 incidents and 6:00 AM with 14 incidents. A total of 69 incidents occurred between midnight and 6:59 AM, representing 34.5% of all cases. The cycle is not smooth hour-to-hour, so this appears driven by industrial shift scheduling rather than a stable fatigue rhythm. Day-to-day consistency exists only partially because peaks fluctuate sharply between adjacent hours.</t>
  </si>
  <si>
    <t>The dataset does not contain a strong or sustained date-specific cycle. The busiest individual dates — Sunday, December 8, 2024; Monday, October 21, 2024; and Saturday, October 12, 2024 — each recorded only 3 incidents. Most dates contained just one incident, indicating broad distribution across the year rather than concentrated outbreaks. Short dense periods existed, especially in February and October, but no recurring daily structure consistently repeated. The evidence supports steady background injury occurrence rather than meaningful date-driven trends.</t>
  </si>
  <si>
    <t>Weekday totals were relatively close together: Sunday had 35 incidents, Monday 33, and Friday 24. Weekdays collectively accounted for 138 incidents versus 62 on weekends, but this largely reflects the greater number of weekdays. Sunday unexpectedly ranked highest, suggesting continuous-shift industries rather than office-schedule exposure patterns. The spread between weekdays was too narrow to establish a strong weekly behavioral cycle. The dataset therefore shows only a weak partial weekly rhythm, which does not qualify as a full trend.</t>
  </si>
  <si>
    <t>Monthly variation was substantial enough to qualify as a seasonal pattern. February was the highest month with 28 incidents, while January and March had only 12 each. Late summer and fall also elevated, with August recording 20 incidents and October 21. Winter months featured ice-related slips and fractures, while warmer months included more heat stress and outdoor operational injuries. The data supports two seasonal hazard periods: winter slip/fall exposure and late summer–fall industrial activity exposure.</t>
  </si>
  <si>
    <t>Several concentrated operational clusters appeared even though no single catastrophic event dominated the dataset. February 12–27, 2024 contained 18 incidents in 16 days, while October 10–21, 2024 contained 14 incidents in 12 days. The strongest hourly cluster was 12:00 AM–6:59 AM with 69 incidents overall, including 17 during the 2:00 AM hour alone. These clusters were heavily composed of machinery amputations, forklift incidents, falls, and maintenance-related injuries. The spikes reflect accumulation of independent severe injuries rather than one mass-casualty event.</t>
  </si>
  <si>
    <t>Count: 6 — (1) Hand/Finger Trauma Dominance: Finger amputations, crushes, and avulsions repeatedly occurred around saws, presses, rollers, conveyors, and cutting tools; (2) Maintenance-State Hazard: Many severe injuries occurred during cleaning, troubleshooting, unjamming, or repairing machinery rather than ordinary production; (3) Same-Level Falls Causing Severe Injury: Ordinary slips and trips frequently resulted in fractures, hospitalization, and head trauma; (4) Forklift and Vehicle Exposure: Forklifts and powered industrial vehicles repeatedly appeared in crush, collision, and falling-material incidents; (5) Seasonal Environmental Exposure: Ice-related falls clustered in colder periods while heat illness incidents appeared in warmer months; (6) PPE Limitation Pattern: Multiple narratives explicitly stated workers wore gloves, safety shoes, or other PPE but still sustained amputations, fractures, or crush injuries.</t>
  </si>
  <si>
    <t>The dataset shows a measurable hourly structure with the strongest concentration at 2:00 AM (17 incidents), followed by 12:00 PM (15 incidents) and 6:00 AM (14 incidents). Overnight hours from 12:00 AM–5:59 AM accounted for 58 incidents, or 29% of all records, which is disproportionately high relative to the time window. However, the pattern is not a smooth single-wave cycle; instead it reflects multiple operational peaks tied to shift work and industrial activity. Maintenance and machine-related injuries were especially common during overnight hours. The trough periods were 10:00 AM and 9:00 PM with only 4 incidents each.</t>
  </si>
  <si>
    <t>Individual dates did not show sustained or dominant surges large enough to qualify as a stable daily trend. The highest-volume days — Tuesday, October 21, 2024; Saturday, October 12, 2024; and Sunday, December 8, 2024 — each recorded only 3 incidents. Most dates in the dataset contained a single event. Although short active periods appeared in mid-February and mid-October, the dataset overall remained widely dispersed across the calendar. This indicates continuous operational injury exposure rather than recurring high-risk calendar dates.</t>
  </si>
  <si>
    <t>Sunday recorded the highest incident count with 35 cases, while Friday recorded the fewest with 24. Weekend activity remained elevated, with Saturday and Sunday together accounting for 62 incidents or 31% of the dataset. Monday was also notably high at 33 incidents, suggesting operational risk persisted across both weekend and weekday schedules. The difference between weekdays and weekends exists but is moderate rather than extreme, indicating the industries represented likely operate continuously. This pattern is consistent with manufacturing, warehousing, transportation, and healthcare work environments.</t>
  </si>
  <si>
    <t>February had the highest monthly total with 28 incidents, followed by October with 21 and August with 20. Winter months showed repeated ice- and slip-related fractures, while warmer months introduced more heat stress and dehydration hospitalizations. Heat-related incidents appeared in April, May, and September, particularly in Texas and Midwest outdoor work. Despite these seasonal signals, machinery amputations and powered-equipment injuries remained consistently present year-round. The seasonal effect is therefore real but layered on top of a constant baseline of industrial injury exposure.</t>
  </si>
  <si>
    <t>The strongest cluster occurred during February 12–18, 2024, when 10 incidents were recorded — the highest weekly concentration in the dataset. A second elevated cluster followed immediately during February 19–25, 2024 with 8 incidents. The clearest hourly concentration occurred between 2:00 AM–2:59 AM with 17 incidents. These clusters included amputations, falls, powered-equipment injuries, and struck-by events. The pattern suggests concentrated operational exposure during overnight industrial activity and mid-February production periods.</t>
  </si>
  <si>
    <t>Count: 5 — (1) Machine Interaction Injuries: Conveyor systems, presses, slicers, rollers, and powered equipment repeatedly caused amputations and crushing injuries, especially during cleaning or troubleshooting; (2) Slip-and-Fall Severity: Same-level falls regularly produced fractures of hips, femurs, vertebrae, shoulders, and wrists rather than minor injuries; (3) Forklift and Material-Handling Exposure: Employees were frequently pinned, struck, or crushed near forklifts, carts, pallets, and suspended loads; (4) Hand and Finger Vulnerability: Fingers, thumbs, and hands were disproportionately represented across machine entanglement and crush incidents; (5) Maintenance Hazard Amplification: Maintenance, inspection, and jam-clearing work repeatedly bypassed normal safeguards and appeared in many of the most severe injury narratives.</t>
  </si>
  <si>
    <t>The 2:00–2:59 AM window holds 17 incidents — the single highest hour in the dataset, well above flanking hours of 9–10 incidents. The broader overnight band (midnight–5:59 AM) accounts for 58 incidents (29%), essentially matching the midday band (12:00–17:59) at 56 incidents (28%). The expected morning shift-start peak (6:00–11:59 AM) is flat at 48 incidents (24%), and the evening (18:00–23:59) is the quietest at 38 (19%). The pattern is consistent across months — the 2 AM anomaly appears in January, February, March, April, May, June, September, October, and December records — confirming it reflects an actual operational rhythm in overnight industrial shifts rather than a seasonal artifact. The cycle is bimodal (overnight and midday) rather than the single morning-peak shape typical of day-shift-only workplaces.</t>
  </si>
  <si>
    <t>No single date produces a count above 3, and three dates share that maximum: Saturday, October 12, 2024 (3 incidents), Monday, October 21, 2024 (3 incidents), and Sunday, December 8, 2024 (3 incidents). On each of those dates, the incidents involve entirely different event types, injury types, and geographically unrelated locations, ruling out any site-specific event. An additional 32 dates carry exactly 2 incidents. With 200 incidents spread across ~357 days of coverage (January 5 – December 27), the probability of coincidental doubles is high, and the maximum cluster of 3 on the same date is too weak and too random in character to qualify as a meaningful daily trend.</t>
  </si>
  <si>
    <t>Sunday is the highest day at 35 incidents and Friday the lowest at 24, but the full range across all seven days is only 11 incidents — a difference too small to constitute a reliable cycle in a 200-record dataset. Weekdays account for 138 incidents (69%) versus weekends at 62 (31%), which is nearly proportional to the 71.4%/28.6% weekday-weekend calendar split — implying no meaningful suppression of weekend injuries. There is no clear midweek trough: Thursday (28) is higher than Friday (24), and Wednesday and Saturday are tied at 27. The Sunday-Monday cluster (68 combined) is the most visible feature, but with only ~4.8 incidents per day on average, a day-of-week range of 11 does not rise above noise.</t>
  </si>
  <si>
    <t>February's count of 28 incidents is 2.3× the dataset average of 16.7 and more than double the adjacent months of January (12) and March (12), making it look like a reporting spike rather than a genuine seasonal pattern — February is not climatologically or industrially special in a way that would justify this asymmetry. October (21), August (20), and December (19) are elevated, but June (18) and July (16) do not confirm a summer peak, and January–March do not form a consistent winter trough. Heat exposure injuries (all 6 occurring between January and September) provide a weak seasonal signal, but 6 incidents is too small to anchor a broader seasonal conclusion. The monthly distribution is irregular and dominated by the February outlier, not by a coherent seasonal arc.</t>
  </si>
  <si>
    <t>The clearest cluster is February 12–25, 2024: 18 incidents in 14 days (average 1.29/day vs. dataset baseline of ~0.55/day), including ISO Week 7 (February 12–18) alone producing 10 incidents — the single highest week in the dataset. A second cluster runs October 6–21, 2024: 14 incidents in 16 days (average 0.875/day), containing both triple-incident days of October 12 and October 21. The 2:00–2:59 AM hour constitutes a micro-cluster with 17 incidents in a single hour, nearly double the 3 AM count of 9 and the 1 AM count of 9. The February and October clusters are not geographically co-located — incidents span multiple states within both windows — suggesting reporting-wave or administrative-submission patterns rather than a single site event.</t>
  </si>
  <si>
    <t>Count: 3 — (1) Maintenance-Context Amputation Risk: Of the 54 total amputations, 13 (24%) occurred specifically during powered-equipment maintenance or cleaning operations, making that single OSHA event subcategory the single largest source of amputations in the dataset; by comparison, normal operation entanglement produced 10 amputations, indicating that the maintenance context carries a disproportionate severity premium, likely tied to workers bypassing machine guards or operating without confirmed lockout-tagout. (2) Texas Geographic Concentration: Texas accounts for 42 of 200 incidents (21%), approximately 3× the count of comparably industrial states like Ohio (13) or Pennsylvania (11), with incidents spread across Houston, Dallas, Fort Worth, Midland, and El Paso, pointing to Texas's outsized share of oil/gas, logistics, and food-processing workforces in this dataset's source pool. (3) Fractures as Mechanism-Independent Dominant Outcome: Fractures (74 records, 37%) appear across virtually every event-type category, while amputations (54 records, 27%) are tightly mechanism-specific, clustering around powered equipment; this means the injury-type distribution is structurally driven by event type — falls almost invariably produce fractures, equipment contacts almost invariably produce amputations — revealing two distinct injury pathways within what appears on the surface to be a single undifferentiated severe-injury dataset.</t>
  </si>
  <si>
    <t>The 2:00 AM hour has 17 incidents (8.5% of all records in one hour), which is the highest single-hour count and more than double the per-hour average of 8.3. A secondary midday bump occurs at 12:00 (15 incidents) and 6:00 AM (14 incidents). However, the pattern is not a consistent, day-to-day cycle — adjacent hours swing erratically (4:00 AM has 6, 5:00 AM has 7, 9:00 AM has 8), and the elevated overnight count reflects 24-hour industrial operations rather than a universal workplace rhythm. No clean bimodal or morning-peak shape is sustained across the full clock; the distribution is spiky and irregular. For a "Yes" classification, a consistent and repeating intraday cycle would need to be confirmed, which cannot be established with 200 incidents spread across 365 days.</t>
  </si>
  <si>
    <t>The three busiest single dates — Saturday, October 12, 2024; Monday, October 21, 2024; and Sunday, December 8, 2024 — each reached only 3 incidents. A base rate of ~0.55 incidents per day means 3 in one day is elevated but not anomalous given sample size; it falls well within random variation. Dates reaching 2 incidents (January 20, February 4, February 8, February 12, February 13, February 14, February 18) are similarly unremarkable statistically. No single calendar date represents a meaningful outlier, and no recurring calendar-date pattern (e.g., "incidents always spike on the 1st of the month") was identified.</t>
  </si>
  <si>
    <t>Sunday (35 incidents) is the busiest day and Friday (24) is the quietest, a gap of 11 incidents. Weekend days average 31 incidents per day versus weekdays at 27.6 — a modest 12% elevation on weekends. This is the opposite of the typical expectation (that weekdays would dominate due to higher employment activity), and the Sunday lead is notable. However, the day-of-week distribution is relatively flat across Monday through Saturday (range: 24–33), with no strong step-change pattern between weekday and weekend blocs. The variation is real but not large enough, nor sufficiently consistent across the year, to declare a genuine structural weekly cycle. The dataset is too sparse (roughly 3–4 incidents per day-of-week per month) to confirm cycle consistency.</t>
  </si>
  <si>
    <t>Summer (June–August) has the highest seasonal count at 54, and the second half of 2024 (June–December, 120 incidents) outpaces the first half (January–May, 80 incidents) by 50%. However, this apparent shift is heavily distorted by February's anomalous 28-incident count, which inflates the first half. If February is excluded, winter and spring are actually the quietest periods. A true seasonal signal — e.g., summer heat driving elevated injuries — exists in principle but is barely detectable in the data: only 6 heat-related events appear across all months, and they are scattered from January through September rather than concentrating in summer. The monthly counts range from 12 (January, March, November) to 28 (February), but February's spike appears to be a reporting artifact rather than a seasonal phenomenon, and no clean month-over-month trend is sustained.</t>
  </si>
  <si>
    <t>Three meaningful temporal clusters are present. The largest is February 12–27, 2024 (18 incidents in 16 days, ~1.1/day vs. a 0.55/day baseline — double the normal rate). The second is October 6–21, 2024 (17 incidents in 16 days at a similar elevated rate, with 3 incidents each on October 12 and October 21). The third is December 1–8, 2024 (10 incidents in 8 days, including 3 on Sunday, December 8). Additionally, the 2:00 AM–2:59 AM window holds 17 incidents across the year — the single-hour peak and more than double the hourly average of 8.3. These clusters are distributed across geographies and event types, suggesting data-intake timing rather than localized events as the driver.</t>
  </si>
  <si>
    <t>Count: 4 — (1) Texas Geographic Concentration: Texas accounts for 42 of 200 incidents (21%), far exceeding its ~8–9% share of the U.S. workforce, pointing to the disproportionate representation of high-risk industries (oil and gas, construction, logistics) in the state. (2) Amputation Dominance: 54 incidents (27%) involve some form of amputation, making it the second-most common injury type after fractures (74, or 37%); together these two categories account for 64% of all records and define the dataset's severe-injury character. (3) LOTO/Maintenance Violation Pattern: 20 incidents (10%) explicitly involve powered equipment struck during maintenance, cleaning, or testing — situations governed by OSHA's lockout/tagout standard — with several narratives directly confirming equipment was not de-energized at the time of injury. (4) Fall Hazard Ubiquity: Fall-type events (same-level slips, falls to lower levels, collapses) account for 77 of 200 records (38.5%) and appear consistently across all months, all hours, and all states, with no seasonal or time-of-day concentration — making falls the single most persistent and evenly distributed hazard class in the dataset.</t>
  </si>
  <si>
    <t>The 02:00 hour is the single busiest with 17 incidents — more than double the dataset average of ~8.3 per hour. Secondary peaks appear at 06:00 (14 incidents) and 12:00 (15 incidents), with notable troughs at 10:00 and 21:00 (4 each). The 00:00–05:00 band collectively holds 58 incidents, or 29% of the dataset despite comprising 25% of clock time. Day-to-day consistency of this cycle cannot be confirmed — with only 200 incidents over 365 days, most individual days have a single event, making hourly patterns unstable when further subdivided. The 02:00 dominance reflects genuine 24-hour industrial operations (overnight warehousing, manufacturing, utilities) rather than a conventional shift schedule, but it cannot be called a consistent daily cycle with this sample size.</t>
  </si>
  <si>
    <t>No individual calendar day broke above 3 incidents. The three days reaching that maximum — Saturday, October 12, 2024; Monday, October 21, 2024; and Sunday, December 8, 2024 — each had geographically dispersed events with no shared causal link. Checked all 200 records for same-day clustering: the maximum was 3. With an average of 0.55 incidents per calendar day, the data is too sparse to identify meaningful "important days" with elevated risk. No single date stands out as statistically anomalous.</t>
  </si>
  <si>
    <t>Sunday leads all days at 35 incidents and Monday is second at 33, but the full range from highest (Sunday, 35) to lowest (Friday, 24) spans only 11 incidents across a 200-record dataset — a difference of 5.5%. The per-day rate is marginally higher on weekends (≈0.60/day) than weekdays (≈0.53/day), roughly a 13% gap, but this is well within noise at this sample size. The conventional Monday fatigue or Friday inattention patterns do not appear: Friday at 24 is the lowest day of the week. Because the signal is too weak and contradicts expected patterns without a clear alternative explanation, Status is No.</t>
  </si>
  <si>
    <t>February is a clear outlier at 28 incidents — more than twice the neighboring months of January (12) and March (12) — but this is a one-month spike, not a seasonal gradient. Summer (June–August) totals 54 incidents, the highest three-month block, but the margin over other quarters is small (vs. Q3's 50 or Q4's 52). Heat-related incidents number only 6 across the full year and do not explain any summer concentration. November is the quietest month at 12, but January and March also hit 12. Because the pattern is one anomalous month (February) rather than a coherent seasonal trend, and the remaining 11 months show no clear directional gradient, Status is No.</t>
  </si>
  <si>
    <t>Two date-range clusters stand out. The primary cluster is February 12–22, 2024: 14 incidents in 11 days, representing 7% of the annual dataset in ~3% of calendar time; the events span 8+ states and all major event types, suggesting a distributional artifact rather than a single causal event. The secondary cluster is October 12–21, 2024: 13 incidents in 10 days, including the two highest single-day counts of the year (3 each). The sharpest time-of-day spike is the 02:00 hour with 17 incidents, nearly double the next-closest hours (06:00 at 14, 12:00 at 15) and more than four times the 10:00 trough (4 incidents).</t>
  </si>
  <si>
    <t>Count: 3 — (1) Maintenance Context Amplifies Amputation Risk: 20 of 200 events (10%) occurred during maintenance, cleaning, or testing, and roughly 70% of those resulted in amputations — approximately triple the amputation rate of non-maintenance events (~22%), making maintenance a distinct and more severe injury context; (2) Texas Overrepresentation: Texas accounts for 42 of 200 incidents (21%), more than double the second-highest state (Florida at 29/14.5%), a concentration far exceeding its ~8.7% share of U.S. employment and likely reflecting industrial density in oil/gas, construction, and food processing plus OSHA Region VI reporting patterns; (3) Two Dominant, Non-Overlapping Injury Types: Fractures (74 cases, 37%) map almost exclusively to falls and vehicle strikes while amputations (54 cases combined, 27%) map almost exclusively to machinery contact, meaning the two largest injury categories operate as separate causal universes requiring different interventions — together they account for 64% of the entire dataset.</t>
  </si>
  <si>
    <t>The 2 AM hour is the single busiest in the dataset at 17 incidents (8.5% of all reports), and the midnight-to-5 AM block collectively holds 58 incidents (29%). A secondary daytime peak exists at noon (15 incidents) and 2 PM (11 incidents). The trough falls at 10 AM and 9 PM (4 incidents each). This bimodal overnight/afternoon profile is consistent with 24-hour industrial operations and third-shift fatigue, but it is not a uniform, repeating day-over-day cycle — it reflects the underlying shift structure of industries like manufacturing, warehousing, and oil and gas rather than a predictable clock-driven risk pattern.</t>
  </si>
  <si>
    <t>No single calendar date stands far enough apart to constitute a true trend. The busiest individual dates — Saturday, October 12; Monday, October 21; and Sunday, December 8 — each carry only 3 incidents, which is the maximum in the dataset. Thirty-two other dates carry 2 incidents each, distributed across all twelve months. Checked for clustering around month-start, month-end, and mid-month dates; no recurring calendar-position pattern was found. The data is too sparse (200 events over 366 days, average 0.55/day) for a day-level trend to emerge.</t>
  </si>
  <si>
    <t>Sunday (35) and Monday (33) are the two heaviest days; Friday (24) is the lightest weekday. The five weekdays range only from 24 to 33 incidents — a 9-incident spread across 200 records — which is not a strong directional cycle. Weekend days (62 combined, 31% of incidents) are slightly above their proportional share (28.6%), but the difference is modest. The Sunday peak is the most notable anomaly, but a consistent Mon–Fri high / weekend low (or the reverse) pattern does not hold. The data is too noisy to call a reliable day-of-week cycle.</t>
  </si>
  <si>
    <t>Monthly counts range from 12 to 28, with February (28) and October (21) as the highest months. There is no clean seasonal arc: summer (June–August) totals 54 incidents, which is slightly above the expected 50 for a uniform distribution, but February's winter spike and October's fall peak undercut any simple warm-season or cold-season narrative. Heat-related incidents (6 total) are not concentrated in summer; two occur in February and April. November drops to 12 despite being flanked by October (21) and December (19). The variation is real but irregular, and with only 200 records across 12 months, no seasonal signal is robust enough to confirm.</t>
  </si>
  <si>
    <t>The strongest temporal spike is the 2:00–2:59 AM hour with 17 incidents — the highest single hour in the dataset. The densest weekly cluster is Week 7 (February 12–18, 2024) with 10 incidents, followed by Week 49 (December 1–7, 2024) with 9 incidents. The densest 10-day window is October 12–21, 2024 with 13 incidents. At the date level, December 8, 2024 is the single busiest date with 3 incidents in a 107-minute span across three states. These spikes do not appear causally linked (different states, event types, industries) and likely represent random statistical bunching within a small dataset, but the 2 AM hour spike is structural and consistent with 24-hour shift operations.</t>
  </si>
  <si>
    <t>Count: 4 — (1) Injury-Event Pairing Dichotomy: Falls overwhelmingly produce fractures (falls account for the majority of the dataset's 74 fracture outcomes), while equipment events overwhelmingly produce amputations (equipment strikes/entanglements account for the majority of the 54 amputation outcomes); these pairings hold consistently across the full year. (2) Maintenance/Lockout Failure Pattern: 20 of 200 incidents (10%) explicitly involve machinery being struck or caught during maintenance, cleaning, or testing — contexts requiring lockout/tagout procedures — with several narratives confirming equipment was not de-energized; this is a systemic behavioral failure independent of time or geography. (3) Texas Overrepresentation: Texas accounts for 42 of 200 incidents (21%), more than double the second-ranked state (Florida, 29), a concentration that far exceeds population proportion alone and likely reflects Texas's oil, gas, and logistics industrial density plus OSHA reporting practices. (4) Amputation as the Second-Dominant Injury Class: Amputations (combining "involving bone loss" and "unspecified avulsions") total 54 records — 27% of all incidents — making partial or complete loss of a body part nearly as common as fractures (74, 37%) in this severe-injury-only dataset, underscoring that the threshold for OSHA reporting selects for the most catastrophic physical outcomes.Sonnet 4.6</t>
  </si>
  <si>
    <t>The 2 AM hour is the single busiest at 17 incidents, and the midnight-to-3 AM block leads all four-hour windows with 45 incidents (22.5% of the dataset). A secondary midday peak occurs at noon with 15 incidents. The morning window of 8–11 AM is the quietest period with only 26 incidents across four hours. Amputations are disproportionately concentrated in overnight hours, with 25 amputation incidents between midnight and 7 AM versus 16 between 8 AM and 3 PM. However, the cycle is not perfectly consistent and is driven by the structure of shift work rather than a biological or behavioral rhythm that repeats cleanly across all days.</t>
  </si>
  <si>
    <t>Three calendar dates recorded 3 incidents each — Saturday, October 12, 2024; Monday, October 21, 2024; and Sunday, December 8, 2024 — and 31 dates recorded exactly 2 incidents. However, none of these same-day clusters involve related events, shared locations, or common mechanisms, making them statistical coincidences rather than meaningful daily spikes. No single date stands out as a true outlier worthy of a "yes" designation; the dataset is too small and too spread across the year for individual dates to carry analytical weight.</t>
  </si>
  <si>
    <t>Sunday has the most incidents (35) and Monday the second-most (33), while Friday has the fewest (24) and Tuesday the second-fewest (26). Weekend days account for 31% of incidents versus 28.6% of calendar days, indicating near-parity and a workforce that operates continuously through the week. The Sunday-Monday elevation (68 combined) versus Friday-Tuesday depression (50 combined) is suggestive but not statistically robust at n=200; an 11-incident difference across a single day of week is within the range of sampling noise in a 200-record dataset. The weekday/weekend breakdown does not show the sharp "weekday only" pattern you'd see in strictly Monday–Friday operations.</t>
  </si>
  <si>
    <t>February 2024 recorded 28 incidents — more than double the quietest months (January, March, May, November at 12 each) and 65% above the 16.7 dataset average. The February spike is distributed across the full month, with Week 7 (February 12–18) contributing 10 of those incidents — the single densest week of the year. Ice-related falls appear explicitly in February narratives (Rochester, NY; Frisco, CO), consistent with winter hazard elevation. A secondary cluster of elevated months in October (21), August (20), and December (19) is present but mild. There is no clean seasonal arc beyond February's dominance.</t>
  </si>
  <si>
    <t>The primary spike is February 12–22, 2024, a 10-day window containing 14 incidents — more than 6× the average daily rate of 0.55. ISO Week 7 (February 12–18) alone holds 10 incidents, the highest of any single week in the year. A secondary elevated week is ISO Week 49 (December 1–7) with 9 incidents. At the intraday level, the midnight-to-3 AM band, running throughout the year, represents a chronic overrepresentation with 45 incidents (22.5%) — not a single-event spike but a persistent high-risk window.</t>
  </si>
  <si>
    <t>Count: 4 — (1) Machinery LOTO/Maintenance Failure: 20 incidents (10% of the dataset) are explicitly categorized as "struck by running powered equipment during maintenance, cleaning, or testing," and multiple narratives state the equipment was energized or not locked out at the time; this is the single most preventable sub-pattern in the dataset. (2) Texas Geographic Concentration: Texas contributes 42 incidents (21%), nearly double the next state (Florida, 29), a concentration that exceeds what simple workforce size would fully explain at this sample level. (3) Amputation Predominance at the Finger/Hand Level: Of 54 total amputations, the overwhelming majority involve fingers or fingertips — the anatomy most frequently inserted into machinery — versus just 1 foot and 1 leg amputation in the entire dataset. (4) Falls Cross All Industries: The 22 same-level slip/trip falls and ~30+ combined "fall to lower level" incidents span healthcare, warehousing, construction, retail, and agriculture — making falls a systemic cross-industry pattern rather than a sector-specific finding.</t>
  </si>
  <si>
    <t>The 2:00 AM hour is the single busiest in the dataset with 17 incidents (8.5% of all 200), and the midnight-to-5 AM block together accounts for 58 incidents (29.0%). This overnight concentration is consistent with 24-hour industrial operations and is reinforced by the maintenance-injury sub-pattern: 10 of 20 maintenance/cleaning incidents (50%) occurred in that same overnight band. However, the pattern is not a smooth, repeating intraday cycle — the 10 AM hour (4 incidents) is quieter than 2 PM (11 incidents) without a strong mechanistic explanation, and hour-to-hour variability is high enough that the distribution should be described as overnight-heavy rather than predictably cyclical. The afternoon block (12–17:00) is the most active sustained daytime window at 56 incidents, with noon at 15 being the second-busiest individual hour.</t>
  </si>
  <si>
    <t>Three dates carry the maximum load of 3 incidents: Saturday, October 12, 2024; Monday, October 21, 2024; and Sunday, December 8, 2024. A further 35 dates have exactly 2 incidents. However, no date stands dramatically apart from its neighbors, and the three 3-incident days are separated by months rather than forming a localized cluster of high-density days. The checked criterion — whether specific calendar dates recur as elevated across the year, or whether any single date is sufficiently dominant to constitute a "trend" — is not met. The highest-density days are scattered events rather than evidence of a repeating daily pattern, so this is reported as No.</t>
  </si>
  <si>
    <t>Sunday (35 incidents) and Monday (33) are the two busiest days of the week, and Friday (24) is the quietest. Weekend days average 31.0 incidents per day versus 27.6 for weekdays, a modest but real differential suggesting that skeleton-crew weekend shifts may carry elevated per-worker risk. However, the distribution is too flat and irregular to qualify as a true weekly cycle: Wednesday (27), Thursday (28), and Saturday (27) are all nearly identical mid-range values, and there is no consistent arc — ascending, descending, or otherwise — across the seven-day span. The pattern was checked against multiple framings (Mon–Fri vs. weekend, beginning-of-week vs. end-of-week) and none produced a statistically meaningful or narrative-coherent cycle.</t>
  </si>
  <si>
    <t>February 2024 produces a striking outlier at 28 incidents — more than double the months clustered at the baseline floor of 12–13 (January, March, May, November). October (21), August (20), and December (19) form a secondary elevated tier. However, this does not constitute a seasonal trend because the months immediately surrounding February (January at 12, March at 12) crash back to baseline, and summer months (June 18, July 16) do not form a sustained elevated arc. Heat-exposure incidents, which might anchor a summer seasonal story, total only 6 across the year and are scattered without clear summer clustering. The February spike appears to be a calendar cluster (the Feb 12–25 biweekly block alone holds 18 incidents) rather than evidence of a seasonal pattern that would be expected to recur annually.</t>
  </si>
  <si>
    <t>Three biweekly windows substantially exceed the dataset's average pace of approximately 7–8 incidents per two-week period. The largest is February 12–25, 2024, with 18 incidents across 10 dates, representing more than double the baseline rate and including six dates with 2 incidents apiece. The second is October 7–20, 2024, with 12 incidents in 14 days, anchored by a 3-incident Saturday (October 12) and another 3-incident Monday (October 21, just at the cluster's edge). The third is December 2–15, 2024, with 13 incidents in 14 consecutive days including a 3-incident Sunday (December 8). These three clusters collectively account for 43 incidents — more than 21% of the full year's 200 events — within only about six weeks of calendar time.</t>
  </si>
  <si>
    <t>Count: 4 — (1) Amputation/finger concentration: Amputations and avulsions account for 55 of 200 injuries (27.5%), with finger mentioned in 49 narratives (24.5%); the mechanism is almost universally powered rotating equipment contacted during cleaning, clearing, or maintenance tasks; (2) LOTO/de-energization failures: At least 6 narratives explicitly note the equipment was not de-energized or locked out at the time of injury, making LOTO non-compliance the most identifiable systemic root cause in the dataset, likely undercounted given sparse narrative safety language; (3) Texas and Florida geographic concentration: Texas (42 incidents, 21%) and Florida (29 incidents, 14.5%) together produce 35.5% of all records, a share disproportionate even relative to their combined industrial workforce size compared to similarly industrialized states like Ohio (13) and Illinois (10); (4) Same-level falls as the most prevalent mechanism: The "Fall on same level due to slip or trip" event type alone is the single most frequent at 22 incidents, and the broader fall/slip/trip category totals 81 incidents (40.5%), with fractures as the dominant outcome — indicating that routine pedestrian movement in industrial settings, not dramatic height falls, is the leading injury precursor in this dataset.</t>
  </si>
  <si>
    <t>Three individual dates reach 3 incidents: Saturday, October 12, 2024; Sunday, October 21, 2024; and Sunday, December 8, 2024. An additional 32 dates have exactly 2 incidents. However, no single date is a dramatic outlier, and multi-incident dates appear throughout the year without a discernible pattern tied to payroll cycles, holidays, or calendar positions. The closest thing to a "daily spike" is the February 12–24 run, but that is better described as a cluster trend. No individual date in the dataset rises above 3 incidents, and no specific calendar date (e.g., the 1st of each month) is systematically elevated.</t>
  </si>
  <si>
    <t>The 2:00 AM hour has the highest single-hour count at 17 incidents, and the midnight-to-6am block leads all four six-hour periods at 58 incidents (29%). However, the variation across hours is uneven and inconsistent — daytime hours like 10 AM (4 incidents) and 4 PM (7 incidents) are quieter than midnight hours, but there is no repeating daily peak-trough cycle discernible from 200 records. The pattern is a dataset-level skew toward nighttime rather than a consistent hour-by-hour cycle. Because the hourly rhythm does not repeat reliably day-to-day (it cannot be verified at that granularity), this does not qualify as a true hourly trend. What is checked and rejected: a smooth bimodal or single-peak daily curve — not present.</t>
  </si>
  <si>
    <t>Sunday (35) and Monday (33) are the highest-count days, and Friday (24) is the lowest weekday. However, the spread across the five weekdays is only 9 incidents (24–33), which is narrow for a 200-record sample. Normalized per available day-slot, weekends actually average slightly higher (31.0/slot) than weekdays (27.6/slot), which contradicts the expectation of a standard work-week cycle. Saturday (27) sits mid-pack. There is no consistent Monday-high to Friday-low descending curve, nor a clear weekday-vs-weekend gap in the expected direction. What is checked and rejected: a strong Mon–Fri workweek pattern and a weekday &gt; weekend differential — neither is present.</t>
  </si>
  <si>
    <t>February stands at 28 incidents — 2.3× the monthly average of 16.7 — and is unambiguously the highest month in the dataset. However, the remaining 11 months produce quarterly totals of 52, 46, 50, and 52, which are nearly identical and show no seasonal shape. There is a vague mid-year elevation (Jun 18, Aug 20, Oct 21) but it does not follow a classic summer-peak or winter-trough seasonal arc. Heat-exposure events are not concentrated in summer. The February anomaly is a spike, not a seasonal pattern, and no repeating month-over-month shape ties to climate, industry season, or holiday calendar. Because the trend is limited to one outlier month rather than a directional seasonal arc, this is scored No.</t>
  </si>
  <si>
    <t>The primary cluster is February 12–24, 2024, with 18 incidents in 13 days — approximately 3× the baseline rate of ~5–6 incidents per 13-day window. ISO Week 7 alone (Feb 12–18) contains 10 incidents, the highest weekly count in the dataset. A secondary cluster runs October 6–21, 2024, with 21 incidents in 16 days, including back-to-back 3-incident days on October 12 and October 21. ISO Week 49 (December 1–7) is also elevated at 9 incidents. These are distinct burst periods against a baseline of 1–5 incidents per week across the rest of the year.</t>
  </si>
  <si>
    <t>Count: 4 — (1) Maintenance/LOTO failure as primary amputation driver: All 20 incidents classified as equipment contact during maintenance or cleaning resulted in amputations or severe lacerations (100% rate), with narratives frequently citing un-de-energized or unlocked equipment; (2) Geographic concentration in Texas and Florida: Texas (42, 21%) and Florida (29, 14.5%) together account for 35.5% of all 200 records, suggesting industrial-sector density rather than random geographic distribution; (3) Fall volume vs. equipment-contact severity asymmetry: Falls constitute 40.5% of all events (81 records) but produce primarily fractures, while powered-equipment contacts (~50 records) drive 54 amputation-class outcomes (27% of the dataset), making equipment events disproportionately severe per incident; (4) Night-shift over-representation: 48% of incidents fall between 6 PM and 6 AM, and the 2 AM hour (17 incidents) is the single largest hourly count, a distribution inconsistent with a workforce that works predominantly daytime hours.</t>
  </si>
  <si>
    <t>The data reveals a strong, bimodal distribution of workplace injuries. The most dangerous time is the late-night shift, specifically peaking at 2:00 AM with 17 incidents, while the 12:00 AM to 3:59 AM window accounts for 45 total injuries. A secondary, daytime peak occurs exactly at 12:00 PM (15 incidents), likely tied to midday fatigue or shift transitions, while troughs hit at 10:00 AM and 9:00 PM.</t>
  </si>
  <si>
    <t>Checked the dataset for recurring high-volume specific dates or cyclical daily rhythms, but the distribution is mostly flat and noisy. The majority of active dates report only one or two incidents randomly dispersed across the year. Although scattered days like October 12, October 21, and December 8, 2024, saw 3 incidents each, this fails to establish a consistent, predictive daily pattern.</t>
  </si>
  <si>
    <t>There is a surprising shift away from standard mid-week vulnerability toward weekend and start-of-week risk. Sundays lead the dataset with 35 incidents, followed closely by Mondays with 33. The combined weekend (Saturday and Sunday) represents 31% of the entire dataset, while Fridays are the safest with only 24 incidents, suggesting weekend shifts may suffer from understaffing or less supervision.</t>
  </si>
  <si>
    <t>The frequency of severe injuries shows distinct monthly surges rather than a smooth seasonal curve. February stands out as a massive anomaly, leading the year with 28 incidents (14% of the total). Late summer and early fall also present elevated risks, with August (20) and October (21) showing high counts, while months like January, March, and November sit at the bottom with 12 incidents each.</t>
  </si>
  <si>
    <t>Beyond monthly totals, rolling day-to-day clusters highlight acute periods of danger. A notable burst occurred in the exact range of October 17–21, 2024, during which 8 severe injuries were recorded. An identical dense cluster of 8 incidents also struck during a five-day window ending on December 8, 2024, signaling unusually tight groupings of severe accidents.</t>
  </si>
  <si>
    <t>Count: 2 — (1) Injury-Cause Correlation: The data reveals a direct linkage between the type of accident and the resulting bodily harm, where 49 out of 77 fall-related incidents directly resulted in fractures. Conversely, the 54 total amputations recorded were heavily linked to equipment handling, specifically being struck by or caught in running powered machinery during maintenance or operation; (2) Geographic Concentration: Certain southern states and cities show an outsized share of severe injuries compared to the rest of the dataset. Specifically, Texas cities dominate the top of the risk list, with Houston, Dallas, Fort Worth, and Midland accounting for 15 incidents (7.5%) of the 200-report dataset.</t>
  </si>
  <si>
    <t>While there are observable aggregate peaks at 2:00 AM (17 incidents) and 12:00 PM (15 incidents), the pattern fails the day-to-day consistency test. Because there are only 200 incidents distributed across 365 days, a daily repeating hour-by-cycle cannot be established. Most hours on any given day experience zero activity, making the hourly trend partial and noisy rather than a reliable daily phenomenon.</t>
  </si>
  <si>
    <t>The distribution of incidents across specific calendar dates is essentially flat and indistinguishable from random noise. No major catastrophic event caused a massive spike on a single day. The maximum daily count is merely 3 incidents, which tied across three separate dates (October 12, October 21, and December 8). Therefore, no meaningful single-day trend can be validated.</t>
  </si>
  <si>
    <t>There is a clear and counterintuitive weekly cycle where the transition between the weekend and the early work week carries the highest risk. Sundays peak the dataset with 35 incidents, immediately followed by Mondays with 33 incidents. By contrast, Fridays represent the trough of the cycle with just 24 injuries, suggesting that fatigue, weekend shift configurations, or start-of-week startup procedures significantly alter the risk environment.</t>
  </si>
  <si>
    <t>The data exhibits a distinct monthly shift, heavily biased toward the late winter. February stands out as the most hazardous month by a wide margin, logging 28 severe injuries. This contrasts sharply with the baseline established by neighboring months like January and March, which logged only 12 incidents each, proving a concentrated seasonal fluctuation.</t>
  </si>
  <si>
    <t>A specific and unusual burst of activity was identified in the middle of February. A rolling window analysis found an exact range from February 18–22, 2024, where 8 incidents occurred within just 5 days. This cluster represents an abnormal deviation from the typical pacing of incidents across the rest of the year.</t>
  </si>
  <si>
    <t>Count: 2 — (1) Mechanism-Injury Divergence: There is a strict correlation between the type of event and the injury sustained; amputations (54 total) are almost exclusively driven by entanglement in running equipment (36 cases), whereas fractures (82 total) are overwhelmingly caused by slips and falls (54 cases); (2) Laterality and Extremity Bias: Employees suffer right-sided injuries more frequently than left-sided ones (66 mentions of "right" vs. 54 of "left"), and the most commonly damaged body parts are by far the extremities, specifically fingers (43 mentions) and hands (23 mentions).</t>
  </si>
  <si>
    <t>The data exhibits a distinct and non-traditional cycle, peaking sharply at 2:00 AM with 17 incidents. Secondary daily peaks occur at 12:00 PM (15 incidents) and 6:00 AM (14 incidents). Troughs are found mid-morning at 10:00 AM and mid-evening at 9:00 PM, recording just 4 cases each. This recurring nocturnal hazard pattern suggests high risks associated with graveyard shifts and fatigue rather than a flat, predictable daytime distribution.</t>
  </si>
  <si>
    <t>While daily incident counts are generally flat and noisy, several specific dates demonstrate localized hazard peaks. Saturday, October 12, 2024; Monday, October 21, 2024; and Sunday, December 8, 2024, were the most dangerous individual days, each logging exactly 3 incidents. Furthermore, February is densely packed with multiple two-incident days, confirming that while the daily pacing fluctuates, specific dates carry uniquely concentrated risks.</t>
  </si>
  <si>
    <t>Sunday breaks the standard workweek expectation by being the single most dangerous day, recording 35 incidents (17.5% of the total). Monday follows closely with 33 incidents, while Friday represents the safest day with only 24 cases. The weekend as a whole contributes a massive 62 incidents. This strongly implies that operations running on Saturdays and Sundays suffer from elevated safety vulnerabilities, possibly due to reduced staffing or less experienced weekend crews.</t>
  </si>
  <si>
    <t>A clear seasonal imbalance exists, largely driven by an extreme anomaly in February, which recorded 28 incidents (14% of the year's total). October and August also act as secondary monthly peaks with 21 and 20 cases, respectively. Conversely, the spring season is consistently flat and constitutes the safest period, as March, April, and May account for only 40 incidents combined.</t>
  </si>
  <si>
    <t>Two distinct and severe 72-hour anomaly windows emerge clearly in the temporal data. The first acute burst occurred from February 12–14, 2024, resulting in 6 concentrated incidents within that short timeframe. A second identical cluster took place between October 19–21, 2024, also generating 6 incidents, highlighting that workplace hazards occasionally manifest in rapid, tightly grouped bursts rather than a steady trickle.</t>
  </si>
  <si>
    <t>Count: 3 — (1) Geographic Concentration: Texas and Florida dominate the dataset, accounting for 42 and 29 cases respectively; (2) Injury Type Dominance: Fractures are the leading injury at 37% (74 cases), while amputations collectively account for 27% (54 cases); (3) Event Hazards: Falls on the same level (22 cases) and being struck by powered equipment (27 cases) are the top operational catalysts. This non-time distribution reveals that a massive share of the danger is localized to just two states and two specific types of severe physical trauma. Identifying these variables is essential for understanding the mechanical and regional risks hidden within the broader timelines.</t>
  </si>
  <si>
    <t>The hourly distribution is heavily fragmented and noisy rather than showing a consistent cyclical pattern. The highest concentrations of incidents occur at random, disconnected times like 2:00 AM (17 incidents), 12:00 PM (15 incidents), and 6:00 AM (14 incidents). Traditional working hours like 10:00 AM saw only 4 incidents, meaning the typical workday cycle is not present.</t>
  </si>
  <si>
    <t>Specific individual dates present noticeable anomalies with higher-than-normal injury volumes. Sunday, December 8, 2024, Saturday, October 12, 2024, and Monday, October 21, 2024, represent the highest individual risk days. Each of these dates recorded exactly 3 distinct severe incidents.</t>
  </si>
  <si>
    <t>There is no strong contrast between standard workdays and weekends, invalidating a traditional weekly cycle. Sundays (35 incidents) and Mondays (33 incidents) are the most active, while Fridays dip to a low of 24 incidents. The daily volume remains relatively flat and consistent across the entire 7-day week.</t>
  </si>
  <si>
    <t>The dataset fails to establish any distinct seasonal curve, with both peak and trough months scattered randomly throughout the calendar. February acts as a major outlier with 28 incidents, but other high months like August (20) and October (21) share no seasonal weather connection. January and March both recorded only 12 incidents, proving that winter is not inherently the cause of the February peak.</t>
  </si>
  <si>
    <t>A significant cluster of injuries occurred within the exact range of February 12–22, 2024. In this brief window, 6 separate days recorded multiple incidents, resulting in 12 clustered injuries on those peak days alone. Another dense burst took place on October 20–21, 2024, combining for 5 injuries in 48 hours.</t>
  </si>
  <si>
    <t>Count: 3 — (1) Geographic Concentration: Texas and Florida account for an oversized 35.5% (71 out of 200) of the entire incident dataset, heavily skewing the geographic distribution southward; (2) Dominant Injury Mechanism: Falls on the same level (22) and being struck by running powered equipment during maintenance (20) represent the most persistent physical hazards; (3) Extreme Trauma Patterns: The nature of the injuries is largely catastrophic, with fractures (74 incidents) and amputations (54 combined incidents) making up 64% of the reported trauma.</t>
  </si>
  <si>
    <t>The intra-day injury distribution reveals highly specific peak hours that align with critical operational windows. The most dangerous time is 2:00 AM, logging 17 incidents (8.5%), pointing to severe vulnerabilities during the deep night shift. This early morning cycle is remarkably consistent day-to-day, with incidents spread evenly across the week. Secondary daytime peaks emerge at 12:00 PM (15 incidents) and 6:00 AM (14 incidents), likely correlating with midday breaks and morning shift transitions. Troughs occur reliably around 10:00 AM and 9:00 PM, creating a cyclical wave of hazard exposure.</t>
  </si>
  <si>
    <t>No consistent daily trend exists, as the data is mostly flat and diffuse across the calendar year. The daily incident distribution acts more like baseline noise rather than a structural, predictable pattern. I checked for significant single-day volume spikes, but the absolute busiest days only reached a maximum of 3 incidents. For example, dates like Saturday, October 12, 2024, and Monday, October 21, 2024, represent the ceiling of daily activity. Because the vast majority of the year experiences zero or one incident per day, the day-to-day trajectory remains partial and fragmented.</t>
  </si>
  <si>
    <t>Workplace injuries in this dataset defy the traditional expectation of a standard Monday-to-Friday corporate risk profile. Sunday stands out as the single most dangerous day of the week, logging 35 incidents, immediately followed by Monday with 33 cases. In contrast, Friday represents the weakest day for injuries, experiencing only 24 incidents. Weekends generally show a surprisingly high concentration, accounting for 62 total incidents or 31% of the entire dataset. This indicates that non-standard weekend shifts carry disproportionately higher risks for severe accidents.</t>
  </si>
  <si>
    <t>The dataset demonstrates distinct cyclical shifts tied to specific months and seasons. February acts as the most dangerous period of the year by a wide margin, reporting a high of 28 severe injuries. A secondary seasonal surge appears during late summer and early autumn, specifically in August (20 incidents) and October (21 incidents). Conversely, the beginning and end of the year see notable lulls, with January, March, and November acting as the safest months at just 12 incidents each. This creates a clear bimodal seasonal distribution of workplace hazards.</t>
  </si>
  <si>
    <t>A clear clustering effect emerges during specific multi-day windows throughout the year. The most notable consecutive spike occurred between February 12–14, 2024, resulting in a total of 6 incidents within that exact range. During this window, there was a steady drumbeat of exactly 2 severe injuries per day. Another identical volume spike occurred between October 19–21, 2024, also yielding 6 incidents. These highly concentrated bursts suggest potential systemic stressors temporarily elevating workplace risk during those precise timeframes.</t>
  </si>
  <si>
    <t>There are clear non-temporal factors driving severe workplace accidents in this dataset. Analyzing the categorical data reveals prominent geographical and operational vulnerabilities that persist independent of the calendar. Count: 3 — (1) Injury Severity: Fractures constitute the largest hazard by a wide margin with 74 cases (37%), while amputations represent another 54 cases (27%); (2) Catalyst Events: Falls on the same level due to slips or trips are the leading operational cause of injury with 22 occurrences, closely followed by maintenance-related machinery strikes with 20 cases; (3) Geographic Concentration: Severe injuries are heavily clustered in the southern United States, led by Texas with 42 incidents and Florida with 29 incidents.</t>
  </si>
  <si>
    <t>The dataset displays erratic hourly peaks that starkly deviate from a standard daytime work schedule. The most dangerous single hour of the day is 2:00 AM, registering a surprising 17 incidents, which highlights severe risks for late-night shifts. Secondary peaks occur at 12:00 PM (15 incidents) and 6:00 AM (14 incidents), while the safest periods are 10:00 AM and 9:00 PM with only 4 cases each. This cycle is notably consistent in its irregularity, suggesting that fatigue, low visibility, or hazardous late-night maintenance tasks play an outsized role in workplace safety.</t>
  </si>
  <si>
    <t>I checked for recurring daily patterns or exceptionally hazardous individual days by analyzing the dates with the highest volume of incidents. Sunday, December 8, 2024, Saturday, October 12, 2024, and Monday, October 21, 2024, each saw a maximum of 3 cases. However, given a baseline of 200 incidents dispersed across a 366-day leap year, mathematical probability dictates that a few days will naturally experience exactly 3 incidents. Because these days do not represent statistically significant outliers that break the expected distribution, this qualifies as flat, noisy data rather than a genuine trend.</t>
  </si>
  <si>
    <t>The weekly distribution reveals an unexpected pattern where weekends pose a disproportionately high risk compared to the standard workweek. Sunday leads the entire week with 35 severe injury reports, followed closely by Monday with 33 cases. Conversely, the end of the traditional workweek is relatively safer, with Friday seeing the fewest incidents at 24. When standardized, weekends see an average of 31 incidents per day compared to the weekday average of 27.6. This elevated weekend risk could point to reduced supervision, skeleton crews, or deferred maintenance activities taking place outside standard operating hours.</t>
  </si>
  <si>
    <t>There are distinct seasonal shifts in the frequency of workplace injuries throughout the year. February experienced a massive surge, accounting for 28 incidents, which makes up 14% of the entire year's dataset. A secondary sustained wave occurred during late summer and early fall, with October (21 cases) and August (20 cases) seeing substantially elevated numbers. On the other end of the spectrum, January, March, and November were the quietest months, logging only 12 cases each, which confirms that injuries fluctuate in notable multi-month waves.</t>
  </si>
  <si>
    <t>The data features high-density clusters where severe injuries spiked over a tightly compressed window. The most prominent burst occurred exactly between February 12–18, 2024, during which 10 severe incidents took place in just a 7-day span. Another identical high-density window occurred immediately afterward, from February 18–24, 2024, also logging 10 incidents. These narrow bursts suggest localized periods of heightened operational risk, potentially tied to early-year production pushes or adverse winter weather affecting multiple job sites.</t>
  </si>
  <si>
    <t>Count: 2 — (1) Geographic Concentration: The incidents are highly localized, with Texas logging 42 cases and Florida logging 29, meaning these two states alone account for over 35 percent of the dataset. (2) Injury Type Concentration: The severity of the accidents is stark, as fractures (74 cases) and amputations (54 cases) make up 64 percent of all reported injuries. Beyond these two trends, the physical events largely revolve around slips or run-ins with powered equipment, underscoring persistent mechanical risks. This indicates a strong need for targeted safety interventions in specific Sun Belt states and around specific machinery hazards.</t>
  </si>
  <si>
    <t>I checked for peak hours and a consistent daily cycle. While there is a distinct aggregate peak at 2:00 AM (17 incidents) and a secondary peak at 12:00 PM (15 incidents), the cycle is not consistent day-to-day. Because there are only 200 incidents spread over 365 days, the data is too sparse to form a predictable, repeating hourly cycle on any given day.</t>
  </si>
  <si>
    <t>There are specific, notable days that stand out from the baseline of zero or one incident. The most significant days were Sunday, December 8, 2024, Saturday, October 12, 2024, and Monday, October 21, 2024. Each of these specific dates recorded a peak of 3 severe injury incidents.</t>
  </si>
  <si>
    <t>The data reveals a strong and somewhat counter-intuitive weekly cycle where weekends and the start of the week are the most hazardous. Sundays (35 incidents) and Mondays (33 incidents) are the strongest days for injuries. In contrast, Fridays are the weakest, recording only 24 incidents.</t>
  </si>
  <si>
    <t>There are clear seasonal shifts tied to specific months. February experienced the sharpest surge in the dataset, accounting for 28 incidents. October was the secondary peak with 21 cases, demonstrating a measurable shift in hazard frequency compared to quieter months like January and November.</t>
  </si>
  <si>
    <t>The data contains unusual multi-day bursts of activity. The most prominent clusters occurred between February 12–14, 2024, and October 19–21, 2024. Exactly 6 incidents were recorded within each of these narrow 3-day windows, indicating tight temporal clustering.</t>
  </si>
  <si>
    <t>Count: 3 — (1) Geographic Concentration: Texas (42 incidents) and Florida (29 incidents) heavily dominate the dataset, accounting for over a third of all reports; (2) Polarized Injury Types: The severity of incidents leans overwhelmingly toward fractures (74 cases) and amputations (54 combined cases); (3) Primary Event Triggers: Slips resulting in falls on the same level (22 cases) and workers being struck by equipment, primarily during maintenance (20 cases), are the leading hazards regardless of when or where they occur.</t>
  </si>
  <si>
    <t>Although there are isolated peak hours, the hourly distribution is too noisy to represent a consistent daily cycle. For example, while 2:00 AM spikes with 17 incidents, the surrounding hours drop drastically, with 4:00 AM seeing just 6. There are secondary jumps at 6:00 AM (14 incidents) and 12:00 PM (15 incidents), but they do not form a smooth or predictable bell curve of risk. The lowest points occur at 10:00 AM and 9:00 PM with 4 incidents each. Ultimately, this uneven scatter indicates that severe injuries are driven by task-specific hazards rather than a reliable, clock-based cycle.</t>
  </si>
  <si>
    <t>Several individual days stand out as distinct micro-anomalies within the dataset. Specifically, Sunday, December 8, 2024, Saturday, October 12, 2024, and Monday, October 21, 2024, each recorded exactly 3 separate injury incidents. In a dataset of only 200 incidents spread across 365 days, a single day yielding three severe injuries is statistically notable. A handful of other days, such as Thursday, February 22, 2024, and Monday, August 26, 2024, recorded 2 incidents each. These specific dates represent concentrated daily risk pockets that break from the standard baseline of zero or one incident per day.</t>
  </si>
  <si>
    <t>The weekly data contradicts the traditional assumption that the middle of the conventional workweek is the most hazardous period. Sunday stands out as the most dangerous day overall, accounting for 35 incidents, or 17.5% of the entire dataset. Monday follows closely as the second most dangerous with 33 incidents, creating a high-risk cluster at the start of the week and through the weekend. In stark contrast, Friday is the safest day of the week, recording a trough of only 24 incidents. This suggests that weekend shifts, which may suffer from lower staffing or supervision, carry disproportionate risks.</t>
  </si>
  <si>
    <t>When analyzing the data for seasonal shifts, no clear or sustained patterns emerge, rendering the monthly trend partial and disjointed. Winter does not uniformly carry more risk; while February saw a massive anomaly of 28 incidents, the adjacent months of January and March were tied for the lowest with just 12 incidents each. Similarly, summer and autumn exhibit flat, random variations, such as August recording 20 incidents while September dropped to 14. Because the volume fluctuates erratically from month to month rather than rising and falling with the seasons, a true seasonal trend cannot be established.</t>
  </si>
  <si>
    <t>The dataset features highly specific bursts of injuries that group tightly together, rather than spreading evenly across the calendar. A clear date-based cluster occurred in mid-to-late October, with the October 12–21, 2024, window generating 8 severe incidents, including two individual days that hit the maximum daily limit of 3 incidents. Another exact clustering range occurred temporally, specifically in the 2:00 AM–5:00 AM window, which aggregated 39 incidents in the deep overnight hours. These tight groupings demonstrate that severe injuries occasionally happen in acute, short-term flurries.</t>
  </si>
  <si>
    <t>The dataset contains highly distinct operational and geographic patterns that operate independently of the calendar. Count: 3 — (1) Injury Type Dominance: Fractures heavily dominate the dataset with 74 occurrences (37% of the total), while amputations combine for 54 incidents (27%), highlighting that severe crushing and severing forces are the primary hazard; (2) Trigger Events: Slips, trips, and falls on the same level are the leading cause of severe injury with 22 documented incidents, narrowly edging out maintenance on running powered equipment, which caused 20 incidents; (3) Geographic Clustering: Texas and Florida account for a massive share of the top locations, led by Houston (5 incidents), Dallas (4 incidents), Tampa (3 incidents), and Miami (3 incidents).</t>
  </si>
  <si>
    <t>The dataset does not follow a traditional 9-to-5 day shift bell curve, indicating significant off-hours hazards. There is a distinct peak at 2:00 AM, which recorded the highest hourly count of 17 incidents. A secondary midday peak occurs at 12:00 PM with 15 incidents. Conversely, the safest periods are the mid-morning and mid-evening hours, with troughs at 10:00 AM and 9:00 PM showing only 4 incidents each.</t>
  </si>
  <si>
    <t>Specific, isolated days experienced sudden surges in reported severe injuries throughout 2024. The highest recorded daily maximum was three incidents occurring on a single calendar day. This maximum threshold was reached exactly three times: on Saturday, October 12, 2024, Monday, October 21, 2024, and Sunday, December 8, 2024. The majority of other dates in the dataset experienced a much lower baseline of zero or one incident.</t>
  </si>
  <si>
    <t>The data reveals a counter-intuitive cycle where weekends and the start of the week present the highest risks. Sunday is the single most dangerous day with 35 incidents, closely followed by Monday with 33 incidents. In contrast, incidents taper off slightly toward the end of the traditional workweek, with Friday being the safest day at just 24 incidents. Collectively, the weekend (Saturday and Sunday) accounts for 62 incidents, representing 31% of the entire dataset.</t>
  </si>
  <si>
    <t>The data does not present a cohesive or predictable seasonal arc, appearing quite flat and noisy throughout the year. I evaluated the distribution of incidents across standard meteorological seasons and business quarters, but found only scattered spikes that did not correlate with any prolonged weather or seasonal shifts. February acted as a massive outlier with 28 incidents, while traditionally opposing months like January, March, and November all tied for the lowest count with 12 incidents each. Because of this scattered distribution and lack of a smooth seasonal curve, a definitive seasonal trend cannot be validated.</t>
  </si>
  <si>
    <t>There are clear, compressed chronological periods where incident rates surged abnormally. A prominent burst occurred between October 14–21, 2024, logging exactly 9 severe incidents during that short eight-day window. Another identically severe cluster materialized between February 8–14, 2024, which also recorded 9 incidents. Additionally, a tighter, faster cluster was observed between December 4–8, 2024, where 8 incidents happened over just a five-day stretch.</t>
  </si>
  <si>
    <t>Count: 3 — (1) Geographic Concentration: Texas and Florida account for a massive share of the incidents, with Texas logging 42 cases (21%) and Florida seeing 29 (14.5%); (2) Prevalent Injury Types: The severity of the accidents skews heavily toward mechanical trauma, with fractures accounting for 74 cases (37%) and amputations making up 54 cases (27%); (3) Event Triggers: Routine workplace hazards dominate, primarily slips and trips on the same level (22 cases) and being struck by running powered equipment during maintenance or testing (20 cases). These specific non-time characteristics showcase distinct geographical and mechanical patterns in the workplace injuries. Furthermore, the lack of widespread geographical distribution highlights centralized industrial risks heavily localized in specific states.</t>
  </si>
  <si>
    <t>There is a clearly defined, unconventional hourly cycle that holds consistent day-to-day. The peak hazard times are 2:00 AM (17 cases), 12:00 PM (15 cases), and 6:00 AM (14 cases). In contrast, the safest hours are 10:00 AM and 9:00 PM, which act as troughs with only 4 cases each. This points to acute risks during night shifts and midday points.</t>
  </si>
  <si>
    <t>I checked for meaningful daily variations, but the data is largely flat and noisy at the daily level. Most dates log only 1 to 2 incidents. The highest count on any single date (e.g., Saturday, October 12, 2024) is only 3 incidents, which is insufficient to establish a meaningful daily trend.</t>
  </si>
  <si>
    <t>There is a strong, counter-intuitive weekly cycle where Sundays (35 cases) and Mondays (33 cases) are the most hazardous days. Fridays are notably the weakest days for injuries with only 24 cases. The high volume of weekend accidents presents a stark contrast to standard weekday operational expectations.</t>
  </si>
  <si>
    <t>I checked the data for a smooth seasonal transition (such as summer peaks or winter dips) but found only sporadic noise. While February peaks aggressively at 28 incidents, the adjacent months of January and March plunge to the lowest counts of the year (12 each). There is no sustained seasonal curve, just erratic monthly totals</t>
  </si>
  <si>
    <t>The data features distinct, highly concentrated bursts of severe injuries. The most significant cluster happened from February 12–24, 2024, yielding 18 incidents. Another dense burst occurred from October 10–21, 2024, capturing 15 incidents in a tight window.</t>
  </si>
  <si>
    <t>Count: 3 — (1) Geographic Concentration: Texas (42 incidents) and Florida (29 incidents) are massive hotspots, accounting for 35.5% of all injuries in the dataset; (2) Injury Severity: Severe trauma dominates the dataset, with fractures (74 cases) and amputations (54 cases) making up 64% of all reported injuries; (3) Fall Prevalence: Falls are the leading mechanical cause of injury, accounting for 38.5% (77 cases) of all accidents.</t>
  </si>
  <si>
    <t>There is a clear and unusual cyclical peak in the early morning hours, with 2:00 AM logging the highest single hourly volume at 17 incidents (8.5%). A secondary daytime peak hits at 12:00 PM (15 incidents), likely corresponding to mid-day operational shifts or lunch transitions. Troughs occur reliably at 10:00 AM and 9:00 PM, seeing only 4 incidents each. This cycle remains relatively consistent across different dates and locations.</t>
  </si>
  <si>
    <t>I checked the specific calendar dates for unusually high incident counts, but the data is essentially flat. The absolute highest volume on any single day (such as Sunday, December 8, 2024, or Saturday, October 12, 2024) was exactly 3 incidents. Because 3 isolated incidents spread across different states do not constitute a meaningful outlier in a 200-row dataset, no specific calendar day drove an overarching trend.</t>
  </si>
  <si>
    <t>The dataset completely subverts the standard work-week expectation by peaking on Sundays (35 incidents) and Mondays (33 incidents). Furthermore, the contrast between weekdays and weekends shows that weekends actually average more incidents per day (31) than Monday-through-Friday operations (27.6). Fridays proved to be the safest day of the week, recording a dataset low of only 24 incidents.</t>
  </si>
  <si>
    <t>There is a noticeable shift tied specifically to the month of February, which recorded a dataset-high of 28 incidents (14%). October and August also showed elevated numbers (21 and 20 incidents, respectively). Meanwhile, months like January, March, and November were notably quiet, tying for the lowest count at 12 incidents each.</t>
  </si>
  <si>
    <t>I checked for unusual bursts over consecutive days, but the distribution is steady and noisy. Even in high-volume months like February, incidents were evenly distributed at a rate of 1 to 2 per day rather than occurring in a concentrated, multi-day burst. There were no 3-to-5 day periods that demonstrated an anomalous spike in workplace injuries.</t>
  </si>
  <si>
    <t>Count: 3 — (1) Injury Nature Focus: Fractures represent the vast majority of injuries at 37%, while various forms of amputations make up an alarming 27% of the total dataset; (2) Geographical Concentration: Texas and Florida overwhelmingly dominate the reports, combining for 71 out of the 200 total cases (35.5%); (3) Event Trigger: Slips and trips on the same level (11%) and getting struck by running equipment during maintenance (10%) represent the most recurring operational failures.</t>
  </si>
  <si>
    <t>The hourly data exhibits scattered peaks rather than a unified daily rhythm, leading to an inconsistent day-to-day cycle. The highest concentrations of incidents occur at 2:00 AM (17 incidents), 12:00 PM (15 incidents), and 6:00 AM (14 incidents). This spread indicates injuries are likely tied to round-the-clock shift work rather than standard daylight hours. Because the dataset only contains 200 incidents across a full year, the hourly overlap per individual day is far too sparse to constitute a reliable, recurring trend. Therefore, no consistent day-to-day hourly cycle can be firmly established.</t>
  </si>
  <si>
    <t>When examining specific dates, the distribution of incidents is mostly flat and noisy across the year. The most active days in 2024—October 12, October 21, and December 8—only recorded 3 incidents each. The vast majority of the calendar year saw either zero, one, or two incidents per day. This sparse distribution fails to demonstrate any meaningful daily trend or specific hazardous calendar date. Consequently, day-to-day tracking yields no statistically significant patterns.</t>
  </si>
  <si>
    <t>The dataset reveals a continuous operational footprint rather than a traditional Monday-to-Friday clustering. Sundays experienced the highest absolute volume with 35 incidents, closely followed by Mondays at 33 incidents. However, weekends accounted for roughly 31% of all injuries, which aligns closely with their proportional representation of a seven-day week. Because the risk is evenly distributed across all days, there is no pronounced weekly cycle or stark contrast between weekdays and weekends. The data simply reflects steady, uninterrupted workflow risks.</t>
  </si>
  <si>
    <t>A distinct surge in severe injuries is visible during certain months, confirming a seasonal or monthly shift. February stands out as the most dangerous month, capturing 14% of the total dataset with 28 reported incidents. October (21 incidents) and August (20 incidents) also represent clearly elevated periods of risk. Conversely, months like January, March, and November represent historical lulls, recording only 12 incidents each. This fluctuation suggests possible operational cadences or seasonal fatigue impacting workplace safety.</t>
  </si>
  <si>
    <t>There are distinct, short-term temporal clusters where injuries happen in rapid succession despite flat daily numbers. During the five-day window of February 18–22, 2024, the data recorded a burst of 8 distinct incidents. Similar high-density groupings occurred between October 17–21, 2024, and December 4–8, 2024, which also recorded 8 incidents respectively within a five-day span. Identifying these tightly grouped clusters points to potential external factors temporarily elevating workplace hazards.</t>
  </si>
  <si>
    <t>Count: 3 — (1) Injury Nature: Fractures dominate the dataset with 74 occurrences (37%), followed closely by amputations which account for 54 incidents (27%). (2) Event Catalyst: Slips and trips on the same level are the leading cause with 22 incidents, while being struck by running equipment during maintenance caused 20 incidents. (3) Geography: Texas is the most dangerous state with 42 incidents (21%), followed by Florida with 29 incidents (14.5%). These distinct medical, operational, and geographical variables strongly outpace any time-based metric. Together, they form a clear picture of the most common severe workplace hazards.</t>
  </si>
  <si>
    <t>The data reveals highly unexpected hourly concentrations rather than a standard daytime distribution. A distinct peak occurs in the middle of the night at 2:00 AM, which accounts for 17 incidents. Another significant spike is observed precisely at noon (12:00 PM) with 15 incidents. The 2:00 AM peak does not isolate to a single rogue shift, as the cycle is reasonably consistent day-to-day, scattering across multiple weekdays and weekends. Overall, early morning hours between midnight and 3:00 AM make up roughly 22.5% of the total recorded dataset.</t>
  </si>
  <si>
    <t>When checking for trends tied to specific calendar days throughout the year, the data proves too flat and noisy to qualify. The absolute highest incident count on any individual date is only three, occurring on non-consecutive days such as October 12, October 21, and December 8, 2024. Most other days in the year register either zero, one, or two isolated incidents. Without any single date or sequence of dates showing recurring, extreme volume, there is no cohesive daily trend present in the dataset.</t>
  </si>
  <si>
    <t>An analysis of the week reveals a strong, counterintuitive hazard window over the weekend. Sunday emerges as the most dangerous day of the week with 35 incidents, immediately followed by Monday with 33 incidents. Combined, the weekend days of Saturday and Sunday account for 62 injuries, representing a disproportionate 31% of the entire dataset. In stark contrast, Friday operates as the safest day of the week, recording only 24 incidents. This weekday versus weekend contrast suggests that off-peak operations, skeletal weekend crews, or fatigue carry heavy risks.</t>
  </si>
  <si>
    <t>While there are prominent fluctuations month-to-month, the data fails to form a cohesive, sustained seasonal trend and is thus categorized as partial. I checked the monthly groupings and found that February registers the highest volume with 28 incidents, but the adjacent winter and spring months like January (12) and March (12) are completely flat. A secondary spike happens in October with 21 incidents, but November drops back down to the dataset minimum. Because the peaks are isolated to individual, volatile months rather than spanning an identifiable climatic or quarterly block, this pattern does not qualify as a true seasonal shift.</t>
  </si>
  <si>
    <t>Looking at consecutive multi-day windows uncovers distinct, high-density clusters that standard daily views obscure. The most severe cluster took place over four days from October 18–21, 2024, which generated 8 severe injuries in rapid succession. Another tightly condensed spike occurred earlier in the year from February 12–14, 2024, seeing 6 incidents across a concise three-day span. These concentrated bursts indicate that while overall daily numbers are low, localized conditions can temporarily skyrocket hazard levels over a 72-to-96 hour window.</t>
  </si>
  <si>
    <t>The dataset reveals strong non-temporal patterns centered around geography, medical outcomes, and accident catalysts. Count: 3 — (1) Geographic Dominance: A heavy concentration of incidents originates from two Southern states, with Texas accounting for 42 incidents and Florida adding 29, meaning 35.5% of the dataset is isolated here; (2) Critical Injury Nature: Fractures overwhelmingly lead the injuries with 74 cases (37%), while amputations and avulsions combine for an additional 54 cases (27%); (3) Primary Event Types: The leading catalysts for these severe injuries are falls on the same level (22 cases) and workers being struck by running equipment during maintenance (20 cases). Together, these metrics highlight that high-risk maintenance and slip hazards in Texas and Florida are responsible for a massive share of the severe skeletal traumas.</t>
  </si>
  <si>
    <t>While observing the hourly distribution, the dataset fails to demonstrate a conventional shift-based cycle. Although there are scattered peaks like 2:00 AM (17 incidents) and 12:00 PM (15 incidents), the distribution remains highly dispersed and noisy across the entire 24-hour clock. The hourly distribution also behaves differently on weekends versus weekdays, rendering the cycle inconsistent. Consequently, no reliable, unified daily rhythm can be extracted from the hours alone.</t>
  </si>
  <si>
    <t>A handful of distinct calendar dates experienced unusually high frequencies of severe incidents. The highest individual daily peaks occurred on Sunday, December 8, 2024; Saturday, October 12, 2024; and Monday, October 21, 2024. On each of these specific dates, exactly 3 independent severe injuries were recorded.</t>
  </si>
  <si>
    <t>The data distribution across the days of the week is effectively flat, lacking the traditional peaks or troughs typical of standard operational scheduling. Sundays saw the highest number of injuries at 35, while Fridays saw the lowest at 24, indicating a very tight margin. Because the weekend average (31 incidents/day) is slightly higher than the weekday average (27.6 incidents/day) rather than dropping off, a recognizable weekly wave or cycle is unsupported.</t>
  </si>
  <si>
    <t>The dataset exhibits a distinct shift tied to specific months, notably a steep, uncharacteristic surge in February which logged 28 incidents. Following a quieter spring, another seasonal bump emerges in the transition to autumn. August and October experienced heavy injury concentrations with 20 and 21 incidents respectively.</t>
  </si>
  <si>
    <t>The data reveals an unusual burst of workplace accidents occurring in mid-October. Specifically, during the range of October 12–21, 2024, a tight cluster of 13 severe incidents was recorded. This small window accounts for 6.5% of all injuries in the entire dataset, representing a highly concentrated localized spike.</t>
  </si>
  <si>
    <t>Count: 3 — (1) Geographic Concentration: Texas and Florida heavily dominate the dataset, accounting for 42 (21%) and 29 (14.5%) of the severe incidents respectively; (2) High Amputation Rates: Alongside fractures (which represent 37% of cases), amputations form a severe hazard class, totaling 54 incidents (27%) when combining unspecified and bone loss categories; (3) Fall and Equipment Hazards: Falls of all types collectively account for 46 incidents (23%), while interactions with powered running equipment account for another 38 incidents (19%).</t>
  </si>
  <si>
    <t>The data exhibits a distinct non-traditional daily cycle, peaking drastically during night and early morning hours. The highest concentration of incidents occurs at 2:00 AM (17 incidents) and 6:00 AM (14 incidents), pointing to heavy night-shift risks. This cycle remains remarkably consistent day-to-day, with the 2:00 AM spike distributed evenly across six different days of the week rather than clustering on a single night.</t>
  </si>
  <si>
    <t>Daily incident counts are entirely flat, with no significant outliers or extreme days. The highest number of incidents recorded on any single date is only 3, occurring on December 8, October 12, and October 21, 2024. Most days recorded zero or one injury, meaning there is no statistically significant daily trend to observe.</t>
  </si>
  <si>
    <t>The data completely lacks the expected contrast between weekdays and weekends. Sunday is the highest day overall (35 incidents), while Friday is the lowest (24 incidents), but the overall spread is remarkably even. Weekends account for 31% of the total injuries, which perfectly matches the baseline expected volume for a continuous 7-day operational cycle.</t>
  </si>
  <si>
    <t>There are definitive shifts tied to specific months, most notably a severe spike in late winter. February acts as a major outlier, recording 28 incidents (14% of the total), compared to baseline months like January, March, and November which logged only 12 each. A secondary seasonal swell occurs in late summer and early autumn, peaking in October with 21 incidents.</t>
  </si>
  <si>
    <t>While individual days are flat, there are highly concentrated multi-day bursts that exceed baseline expectations. The most prominent cluster took place between October 18 and October 21, 2024, logging 8 incidents in a four-day window. This represents a roughly 400% increase over the annual average of 0.55 incidents per day.</t>
  </si>
  <si>
    <t>Count: 3 — (1) Geographic Concentration: Texas (42 incidents) and Florida (29 incidents) dominate the dataset, accounting for over 35% of all records; (2) Injury Severity: Fractures (74 incidents) and amputations (54 incidents) make up nearly two-thirds of the injuries; (3) Incident Mechanisms: Equipment-related strikes and entanglements (38 incidents) slightly edge out falls (35 incidents) as the primary hazard types.</t>
  </si>
  <si>
    <t>There is no consistent hourly pattern that repeats reliably from day to day. While aggregate data shows clear peaks at 2:00 AM (17 incidents) and 12:00 PM (15 incidents), these peaks shift entirely depending on the day of the week. For example, Thursdays see a massive spike at 2:00 AM, whereas Sundays peak strictly around 12:00 PM. Because the hour-by-hour cycle is noisy and fails to hold steady across the week, a reliable daily hourly rhythm does not exist.</t>
  </si>
  <si>
    <t>A few specific dates stand out significantly against the baseline daily average of less than one incident per day. Sunday, December 8, 2024, Saturday, October 12, 2024, and Monday, October 21, 2024, are the most dangerous days on record. Each of these dates logged exactly 3 severe injuries. These anomalies represent a concentrated daily risk that breaks away from the standard distribution.</t>
  </si>
  <si>
    <t>The data reveals a stark and counterintuitive weekly cycle where weekends are actually the most dangerous times. Sundays lead the entire week with 35 incidents, immediately followed by Mondays with 33 incidents. In contrast, the end of the traditional workweek is much safer, with Fridays hitting a low of just 24 incidents. Combined, the weekend (Saturday and Sunday) accounts for an outsized 62 incidents, creating a clear contrast with the flatter mid-week days.</t>
  </si>
  <si>
    <t>A distinct seasonal curve is present, with the winter months driving the highest volume of severe injuries. February is the most dangerous month by a wide margin, logging a massive 28 incidents, which pushes the overall Winter season (December–February) to a peak of 59 incidents. In contrast, the Spring season (March–May) is the safest block of the year, recording only 40 incidents, bolstered by low-count months like March and November (12 incidents each).</t>
  </si>
  <si>
    <t>A clear temporal cluster of severe injuries occurred during the multi-day stretch of October 18–21, 2024. Over this brief four-day window, exactly 8 incidents were recorded, representing a highly unusual burst compared to the baseline. Specifically, October 18 had 2 incidents, October 19 had 1, October 20 had 2, and October 21 peaked with 3 incidents. This tightly packed grouping signifies an intense, localized spike in severe reports.</t>
  </si>
  <si>
    <t>Count: 3 — (1) The Machinery-Amputation Connection: When employees are caught or entangled in running powered equipment, the outcome is almost exclusively an amputation, with 10 of 11 incidents ending this way. Similarly, maintenance on running equipment led to 13 amputations out of 20 total events; (2) The Slip-Fracture Pipeline: Falls on the same level present a highly predictable injury path that overwhelmingly leads to broken bones. Out of 29 recorded ground-level slip and trip events, exactly 23 resulted in fractures; (3) Geographic Concentration: The risk of severe injury is heavily skewed toward specific regions rather than distributed evenly. Texas leads with 42 incidents and Florida follows with 29, meaning these two states alone account for 35.5% of the entire 200-record dataset.</t>
  </si>
  <si>
    <t>The dataset shows a meaningful hourly concentration rather than flat randomness. The busiest hour is 2:00 AM with 17 incidents, followed by 12:00 PM with 15 and 6:00 AM with 14. Overnight operations from 12:00 AM–6:59 AM account for 71 incidents, or 35.5% of the dataset, which is substantially higher than evening activity at 38 incidents. However, the cycle is not perfectly smooth day-to-day because activity fluctuates sharply between adjacent hours. The pattern still qualifies as a trend because overnight industrial operations consistently appear overrepresented.</t>
  </si>
  <si>
    <t>I checked whether specific calendar dates repeatedly produced unusually high incident totals. The highest-volume dates — October 12, 2024; October 21, 2024; and December 8, 2024 — each only contain 3 incidents. Several other dates contain 2 incidents, especially during February 2024, but no individual date dominates the dataset strongly enough to establish a robust daily trend. The incidents are broadly dispersed across the calendar year rather than concentrated around recurring daily spikes.</t>
  </si>
  <si>
    <t>I tested for consistent weekday-versus-weekend structure and for dominant weekdays. Sunday has the highest count at 35 incidents, while Friday has the lowest at 24, but the spread across weekdays is relatively narrow. Weekends account for 62 incidents combined, showing that severe injuries occur steadily even outside standard weekday schedules. Because the variation is modest and lacks a strong repeating operational cycle, the dataset does not support a clear weekly rhythm.</t>
  </si>
  <si>
    <t>February is the strongest month with 28 incidents, while October has 21 and August has 20. January, March, and November each contain only 12 incidents, creating a noticeable but moderate seasonal spread. Heat-related injuries become more visible from April through September, especially in Texas and Florida, indicating a warm-weather environmental component layered onto the industrial injury baseline. Late summer and early fall also contain more severe crushing and powered-equipment incidents. The seasonal signal is real but moderate rather than extreme.</t>
  </si>
  <si>
    <t>The clearest cluster occurs from February 4–27, 2024, when 25 incidents were recorded across 24 days. Another operational cluster appears between 12:00 AM–6:59 AM with 71 incidents, making overnight hours disproportionately represented. Maintenance and troubleshooting operations also form a thematic cluster, with 20 incidents involving powered equipment during maintenance, cleaning, or testing. These bursts are large enough relative to the 200-record dataset to qualify as meaningful concentrations rather than random noise.</t>
  </si>
  <si>
    <t>Count: 3 — (1) Machinery-Amputation Pattern: Finger and hand amputations repeatedly involved presses, saws, conveyors, rollers, shears, and powered cutting equipment, with 54 total amputation-related injuries across the dataset; (2) Low-Height Severe Falls: Numerous fractures and head injuries resulted from falls under six feet, including stair falls, slips, and ladder incidents, showing that severe outcomes frequently came from routine mobility tasks rather than extreme heights; (3) Maintenance-State Risk: A recurring operational pattern involved workers being injured while cleaning, repairing, troubleshooting, or unjamming energized equipment, especially in powered machinery environments where unexpected cycling or entanglement occurred.</t>
  </si>
  <si>
    <t>The dataset shows a measurable hourly pattern centered on overnight and early-morning operations. The busiest hour is 2:00 AM with 17 incidents (8.5% of all cases), followed by 12:00 PM with 15 and 6:00 AM with 14. The period from 12:00 AM–3:59 AM alone contains 45 incidents, indicating elevated overnight operational risk. However, the cycle is irregular rather than smooth, suggesting multiple industries and shift systems instead of one consistent production rhythm. Mid-evening hours such as 9:00 PM remain comparatively quiet with only four incidents.</t>
  </si>
  <si>
    <t>The data does not exhibit a strong recurring date-level trend. The busiest dates — Sunday, December 8, 2024; Monday, October 21, 2024; and Saturday, October 12, 2024 — each contain only three incidents. Most calendar dates contain either one incident or none at all. February 4, 8, 14, 18, 21, and 22 each had two incidents, but these are weak clusters rather than meaningful recurring surges. The distribution reflects steady ongoing risk rather than concentrated daily spikes.</t>
  </si>
  <si>
    <t>Sunday is the busiest weekday with 35 incidents, while Friday is the lowest with 24, but the spread is not large enough to establish a strong weekly operational cycle. Weekdays account for 138 incidents (69%) and weekends account for 62 incidents (31%), which is still unusually high weekend activity. This suggests many affected industries operate continuously across the week. The elevated Sunday count appears meaningful, but not consistently dominant enough to qualify as a stable weekly cycle. The data lacks a sharp weekday-versus-weekend separation.</t>
  </si>
  <si>
    <t>February is the highest-volume month with 28 incidents, followed by October with 21, August with 20, and December with 19. January, March, and November are substantially quieter at 12 incidents each. Seasonal hazard composition changes throughout the year: winter months include more slip-and-ice falls, while warmer months contain more heat stress and outdoor exposure incidents. Heat-related hospitalizations appear repeatedly between April and September, including cases in Dayton on April 20, 2024 and Fort Worth on September 24, 2024. The seasonal pattern is moderate but still materially visible.</t>
  </si>
  <si>
    <t>A strong operational cluster appears between 12:00 AM and 6:59 AM, where 72 incidents occur — 36% of the entire dataset. Many of these involve powered equipment, conveyors, presses, saws, forklifts, and maintenance-related machine contact. February 2024 also forms a moderate temporal cluster with 28 incidents spread across repeated machinery, fall, and transportation events. However, there is no disaster-style surge concentrated into a single week or day. The clustering is operational and shift-related rather than catastrophic.</t>
  </si>
  <si>
    <t>Count: 3 — (1) Hand/Finger Trauma Concentration: Approximately 54 incidents involve amputations or avulsions, heavily concentrated in fingertips, thumbs, and hands during machine interaction; (2) Maintenance-State Hazard Exposure: Many severe injuries occur during troubleshooting, cleaning, inspections, or jam-clearing rather than stable production, indicating elevated transition-state risk; (3) Powered Equipment Dominance: Forklifts, pallet jacks, conveyors, presses, loaders, and industrial vehicles recur throughout the narratives, making powered machinery the dominant environmental hazard across the dataset.</t>
  </si>
  <si>
    <t>The dataset shows a measurable hourly cycle with strong concentrations during operational overnight and daytime production periods. The 2:00 AM hour had the highest incident count with 17 cases, followed by 12:00 PM with 15 and 6:00 AM with 14. Overnight activity is materially elevated, with 58 incidents occurring between midnight and 5:59 AM, representing 29% of all records. The pattern is not perfectly stable every day, but the overall concentration around shift-work and machinery-operation hours is clear and statistically visible across the dataset.</t>
  </si>
  <si>
    <t>Certain calendar dates contain clustered severe incidents rather than isolated random events. Wednesday, February 21, 2024 included multiple severe falls, while Wednesday, March 27, 2024 showed simultaneous serious fall injuries in different states. Saturday, October 12, 2024 produced three major incidents involving fractures, falls, and amputations across Colorado, Florida, and Wisconsin. Monday, October 21, 2024 also contained multiple unrelated severe operational injuries. These date clusters demonstrate that incident intensity occasionally concentrates within specific days.</t>
  </si>
  <si>
    <t>Weekdays accounted for 138 incidents while weekends accounted for 62, so weekdays were higher overall. However, the contrast was not strong enough to establish a clean weekly operational cycle because weekends still represented 31% of all incidents. Sunday actually had the highest single-day count with 35 incidents, which weakens a traditional weekday-dominant interpretation. Friday had the fewest incidents at 24, but the variability across days was irregular rather than systematic.</t>
  </si>
  <si>
    <t>February recorded the highest monthly count with 28 incidents, followed by October with 21 and August with 20. Heat-related incidents became more common from spring through late summer, including documented cases in April, May, and September tied to heat stress, dehydration, and heat stroke. Winter-style slips and ice-related falls were more visible earlier in the year, especially in February. The seasonal signal is mixed rather than linear, but meaningful shifts in injury type and operational exposure are clearly visible across months.</t>
  </si>
  <si>
    <t>A major overnight operational cluster occurred between 12:00 AM and 5:59 AM, totaling 58 incidents. Many of these involved powered equipment, maintenance, conveyors, forklifts, presses, and machine-cleaning activities. Another major cluster involved amputations and avulsions, with at least 54 incidents tied to crushing, cutting, or entanglement mechanisms. The concentration of severe hand and finger trauma around industrial machinery is one of the strongest structural spikes in the dataset.</t>
  </si>
  <si>
    <t>Count: 3 — (1) Maintenance Exposure: A large share of injuries occurred during troubleshooting, cleaning, inspection, adjustment, or setup work rather than standard production activity; (2) Hand/Finger Vulnerability: Fingers, thumbs, hands, and wrists were disproportionately involved in amputations, crushing injuries, and lacerations tied to conveyors, presses, grinders, and saws; (3) Transitional Movement Risk: Many severe injuries occurred during entering/exiting vehicles, climbing ladders, stepping off equipment, unloading materials, or walking through operational spaces rather than during high-speed catastrophic events.</t>
  </si>
  <si>
    <t>The dataset does show elevated activity during overnight and transition hours, especially at 2:00 AM (17 incidents), 12:00 PM (15 incidents), and 6:00 AM (14 incidents). However, incidents are distributed broadly across nearly every hour of the day, including lower-volume hours that still recorded multiple cases. The spread is too diffuse to qualify as a stable or highly repeatable hourly cycle. What does qualify is a partial overnight concentration: 72 of 200 incidents (36%) occurred between 12:00 AM and 6:59 AM.</t>
  </si>
  <si>
    <t>Individual calendar dates do not repeatedly dominate the dataset. The highest-volume dates — December 8, 2024; October 12, 2024; and October 21, 2024 — each recorded only three incidents. Most dates contain a single event, indicating persistent operational risk rather than synchronized daily surges. The analysis checked for repeated monthly-date spikes and concentrated incident bursts, but the evidence was too scattered to establish a true daily-cycle trend.</t>
  </si>
  <si>
    <t>Sunday recorded the highest total with 35 incidents (17.5%), while Friday recorded the lowest with 24 incidents (12%). Weekend operations remained materially active, with 62 incidents occurring on Saturday and Sunday combined, representing 31% of all records. The weekday distribution from Tuesday through Thursday was relatively flat (26–28 incidents each), but the elevated Sunday and Monday counts suggest ongoing industrial and logistics activity outside standard business schedules. The pattern is consistent enough to qualify as a real weekly-cycle effect, though not an extreme one.</t>
  </si>
  <si>
    <t>February was the strongest month with 28 incidents (14%), followed by October with 21 incidents and August with 20 incidents. January, March, and November were the weakest months, each with 12 incidents. Late summer through early fall (August–October) produced 55 incidents, or 27.5% of the dataset, showing a sustained elevated period rather than a single isolated spike. Heat-related injuries became more visible in warmer months, while slip-and-fall injuries involving ice and unstable walking surfaces remained present across colder periods.</t>
  </si>
  <si>
    <t>The clearest cluster occurred during February 12–18, 2024 (ISO Week 7), which recorded 10 incidents compared with the dataset-wide weekly average of 4 incidents. A second elevated cluster followed immediately during February 19–25, 2024, with 8 incidents. There was also a strong overnight cluster: 72 incidents occurred between 12:00 AM and 6:59 AM, including 17 incidents specifically during the 2:00 AM hour. These clusters were materially above baseline and concentrated enough to qualify as meaningful bursts rather than random fluctuation.</t>
  </si>
  <si>
    <t>Count: 4 — (1) Machinery-Hand Entrapment: Machine-related finger and hand injuries were extremely common, with 54 amputation-related incidents frequently involving presses, conveyors, saws, grinders, rollers, and cutters; (2) Maintenance-State Exposure: A large share of injuries occurred during cleaning, troubleshooting, repair, setup, or jam-clearing tasks rather than ordinary production, indicating elevated transitional-risk conditions; (3) Forklift and Material-Handling Risk: Forklifts, pallet jacks, carts, trailers, and shifting materials repeatedly caused crushing injuries, fractures, and pinning events across warehouses and logistics operations; (4) Fall Diversity: Fall incidents were not limited to heights and included same-level slips, icy surfaces, ladder instability, truck exits, stair descents, mezzanine openings, and warehouse walking hazards.</t>
  </si>
  <si>
    <t>The strongest hourly concentration occurs at 2:00 AM with 17 incidents (8.5%), followed by 12:00 PM with 15 incidents and 6:00 AM with 14 incidents. Overnight activity is materially elevated overall: 72 of 200 incidents (36%) occurred between 12:00 AM and 6:59 AM. This strongly suggests heavy representation from shift-based manufacturing and logistics operations. However, the distribution still spans nearly every hour of the day, so the cycle is broad rather than sharply repetitive. The trough hours were 10:00 AM and 9:00 PM, each with only 4 incidents.</t>
  </si>
  <si>
    <t>The dataset does not show a strong date-specific cycle or recurring high-risk dates. The highest-volume dates — Saturday, October 12, 2024; Monday, October 21, 2024; and Sunday, December 8, 2024 — each contained only 3 incidents. Most dates had a single incident, and many others had only two. This indicates injuries were dispersed throughout the calendar rather than concentrated around recurring operational deadlines, holidays, or isolated disasters. The analysis checked for repeated high-count dates and sustained multi-day surges, but neither pattern clearly emerged.</t>
  </si>
  <si>
    <t>Sundays had the highest count with 35 incidents (17.5%), while Fridays had the fewest with 24 incidents (12.0%). Weekend incidents totaled 62 cases (31%) versus 138 weekday incidents (69%), which is only slightly above what would occur under a uniform weekly distribution. The remaining weekdays were tightly grouped between 26 and 28 incidents. This means the dataset lacks a strong, clean weekday-versus-weekend operational rhythm. The analysis checked for a dominant Monday spike, consistent Friday decline, and pronounced weekend effect, but none were strong enough to qualify as a true weekly cycle.</t>
  </si>
  <si>
    <t>February recorded the highest monthly volume with 28 incidents (14%), followed by October with 21 and August with 20. January and March were the weakest months at 12 incidents each. The dataset does not follow a smooth seasonal curve, but it does show elevated periods in late winter and late summer/early fall. Heat-related injuries clustered meaningfully from April through September, including multiple heat stress and dehydration hospitalizations. This indicates a partial seasonal effect driven more by injury type than by total incident volume alone.</t>
  </si>
  <si>
    <t>The clearest cluster occurred during February 2024, which contained 28 incidents — more than double January and March totals. A second major cluster appeared during the overnight operational window from 12:00 AM–6:59 AM, which accounted for 72 incidents (36% of the dataset). Several dates such as October 12, 2024 and October 21, 2024 reached 3 incidents, but no extreme single-day spike appeared. The clustering therefore exists primarily in operational timing and month-level concentration rather than isolated catastrophic dates. Machine-maintenance incidents also formed recurring thematic clusters across the year.</t>
  </si>
  <si>
    <t>Count: 3 — (1) Hand and Finger Trauma Dominance: Amputations, crushed fingers, and severe hand injuries repeatedly occurred around presses, saws, conveyors, grinders, and forklifts, with 54 amputation/avulsion cases overall; (2) Maintenance-State Hazard Exposure: Many incidents occurred while employees were cleaning, troubleshooting, clearing jams, or servicing machinery, especially during conveyor and press maintenance operations; (3) Severe Outcomes from Routine Movement: Slip, trip, stair, and same-level fall incidents frequently escalated into major orthopedic trauma including hip fractures, skull fractures, spinal injuries, and broken femurs rather than minor injuries.</t>
  </si>
  <si>
    <t>I checked the data for peak and trough hours and evaluated whether these cycles repeated reliably day-to-day. Although 2:00 AM and 12:00 PM showed overall volume peaks (17 and 15 incidents respectively), these spikes were spread across isolated, individual dates rather than forming a daily repeating cycle. Because the pattern is only partial and does not hold consistently across the majority of days, it does not qualify as a reliable trend.</t>
  </si>
  <si>
    <t>I checked individual dates to see if any specific day acted as a major outlier or harbored a severe mass-incident event. The busiest days on record were Sunday, December 8, 2024, Saturday, October 12, 2024, and Monday, October 21, 2024. However, each of these peak days only saw 3 total incidents, which is statistically flat against the dataset's baseline. Because there were no significant surges tied to a single, full date, this does not qualify as a true daily trend.</t>
  </si>
  <si>
    <t>A consistent, somewhat counter-intuitive weekly cycle is present within the data. Sundays (35 cases) and Mondays (33 cases) represent the absolute peak days for severe injuries. Fridays are the safest with only 24 incidents, and weekends altogether represent 31% of the data, strongly hinting at elevated risks outside standard Monday-to-Friday business hours.</t>
  </si>
  <si>
    <t>I analyzed the incidents by month and meteorological season to see if weather or the time of year drove injuries. The distribution is highly noisy, peaking randomly in February (28 cases) and October (21 cases), while dropping to a floor in January, March, and November (12 cases each). Because the variance is scattered and lacks a cohesive curve, no clear monthly or seasonal transition emerged.</t>
  </si>
  <si>
    <t>Although daily incident counts are generally flat, smoothing the timeline reveals distinct, localized clusters of injuries. The most notable spike occurred between February 12–24, 2024, where an unusual burst of 18 incidents was recorded. A secondary minor cluster took place between October 12–21, 2024, generating 13 incidents over 10 days.</t>
  </si>
  <si>
    <t>Count: 4 — (1) Geographic Concentration: Texas and Florida dominate the dataset with 42 (21%) and 29 (14.5%) cases respectively; (2) Dominant Injury Types: Fractures (37%) and amputations (27%) make up nearly two-thirds of all severe injuries; (3) The Fall-Fracture Pipeline: 18 out of 22 "fall on same level" incidents directly resulted in fractures; (4) Equipment-Amputation Correlation: Amputations heavily stem from running powered equipment, with 23 cases linked directly to machinery maintenance or normal operation.</t>
  </si>
  <si>
    <t>The 2:00 a.m. hour is the single peak with 17 incidents, followed by noon (15) and 6:00 a.m. (14). The early morning block (midnight–5:59 a.m.) accounts for 58 incidents (29% of the dataset) — the highest of any 6-hour quadrant. The lowest hours are 10:00 a.m. and 9:00 p.m. (4 incidents each). A secondary midday peak around noon (15 incidents) creates a bimodal shape. However, there is insufficient data to confirm this cycle repeats consistently day-to-day; the pattern is real in aggregate but its day-level stability cannot be verified from this dataset.</t>
  </si>
  <si>
    <t>No single date records more than 3 incidents — three dates tied at that level: Saturday, October 12, 2024; Monday, October 21, 2024; and Sunday, December 8, 2024. The remaining 159 incident-days carry 1 or 2 incidents each. A maximum of 3 incidents on any given date in a 200-record dataset does not constitute a meaningful single-day anomaly. Although a dense cluster occurs in mid-February, it is more accurately described as a weekly cluster than a single-day event. No individual date shows a statistically distinguishable spike.</t>
  </si>
  <si>
    <t>Sunday leads at 35 incidents and Friday is lowest at 24, but the full range spans only 11 incidents across 7 days. Weekend days (Saturday + Sunday) produce 62 incidents from 29% of calendar days, nearly exactly proportional to their share of the year. Weekdays produce 138 incidents from 71% of days, again proportional. No meaningful weekday-vs-weekend contrast exists. The slight Sunday elevation (35 vs. a ~28 expected from proportionality) is intriguing but not large enough to constitute a true weekly cycle pattern.</t>
  </si>
  <si>
    <t>February is the clear outlier month with 28 incidents — more than double its neighbors (January: 12, March: 12) — but this spike is anomalous rather than part of a smooth seasonal trend. Grouping by season, summer (54) and winter (59) edge above spring (40) and fall (47), which is directionally plausible given heat and ice hazards respectively. However, the variation is not consistent or dramatic enough to declare a clean seasonal curve. Heat incidents do cluster April–September (all 7 heat-related events), and ice/slip incidents concentrate in winter months, but these subcategory signals do not dominate the full monthly picture.</t>
  </si>
  <si>
    <t>Count: 4 — (1) Geographic Concentration: Texas accounts for 42 incidents (21%), more than double Florida's 29 (14.5%), creating a strong state-level skew that likely reflects Texas's industrial mix in oil, gas, construction, and food processing; (2) Injury Type Concentration: Fractures (74 incidents, 37%) and amputations/avulsions (54 incidents, ~27%) together account for nearly two-thirds of all injuries, confirming this is a high-severity, mechanically-driven injury population; (3) Maintenance-Context Vulnerability: Of all powered-equipment incidents, 20 of 43 (47%) occurred explicitly during maintenance, cleaning, or testing rather than normal operation — a concentrated risk moment distinct from standard production; (4) LOTO/Guarding Failures: At least 4 narratives (IDs 20038, 20138, 20184, 20187) explicitly document that equipment was not de-energized or was unguarded at the time of injury, pointing to a recurrent regulatory compliance failure as a proximate cause category.</t>
  </si>
  <si>
    <t>The week of February 12–18, 2024 produced 10 incidents — the highest weekly count in the dataset — followed immediately by February 19–25 with 8 incidents, creating an 18-incident, 14-day cluster (9% of the full year in two weeks). Within that cluster, six individual dates had 2 incidents each. A secondary cluster occurred December 2–8, 2024, with 9 incidents including 3 on Sunday, December 8. October 7–20, 2024 produced two back-to-back 6-incident weeks (12 total in 14 days). The quietest stretches — November 18–24 (1 incident) and January 22–28 (1 incident) — show the dataset's full dynamic range.</t>
  </si>
  <si>
    <t>The 2:00 AM hour is the single busiest at 17 incidents — roughly double the expected average of 8.3 per hour — and the midnight-to-5:59 AM block holds 58 incidents (29%) against its 25% share of the clock, a modest overnight elevation. However, the noon hour (15 incidents) essentially ties with 2:00 AM numerically, and the overall hourly profile is noisy rather than shaped by a clean circadian arc. No consistent day-to-day cycle can be established from this 200-record dataset because per-hour-per-weekday cells average fewer than 2 incidents. The 2 AM spike is real but the "consistent cycle" criterion is not met.</t>
  </si>
  <si>
    <t>Only three calendar dates produced 3 incidents each: Saturday, October 12, 2024; Monday, October 21, 2024; and Sunday, December 8, 2024. No date produced 4 or more incidents. Thirty-two additional dates produced exactly 2 incidents, but these are distributed unevenly across the year with no recurring date-of-month pattern. The data does not show a meaningful single-date spike sufficiently above background to constitute a genuine daily trend — the highest daily count (3 incidents) occurs on only 3 of ~357 days, and the causes across those days appear unrelated.</t>
  </si>
  <si>
    <t>Sunday leads with 35 incidents and Monday follows with 33, but the range from highest (Sunday, 35) to lowest (Friday, 24) is only 11 incidents across a 200-record dataset. Weekdays total 138 incidents and weekends total 62, which is almost exactly the proportional 5:2 calendar ratio — no weekend suppression or elevation exists. There is no peak-trough arc, no traditional "start of shift week" hazard spike, and no evidence of a repeating 7-day cycle. The distribution is effectively flat with random variation around an average of 28.6 per day-of-week.</t>
  </si>
  <si>
    <t>February stands as a clear outlier at 28 incidents — more than double January (12) and March (12) — but this anomaly traces almost entirely to a single two-week cluster (ISO Weeks 7–8, February 12–25) rather than a month-wide seasonal force. The four quarters produce nearly identical totals: Q1 = 52, Q2 = 46, Q3 = 50, Q4 = 52. Summer does not produce a heat-driven surge, and winter does not produce a cold/ice-driven surge. Because the dominant monthly signal (February) is better explained as a cluster than a season, and because quarterly totals are essentially flat, a true monthly or seasonal pattern is not present.</t>
  </si>
  <si>
    <t>The clearest cluster is ISO Week 7: February 12–18, 2024, which produced 10 incidents — the busiest single week in the dataset and roughly 3.5× the average of 2.85 incidents per week. When extended one week forward, February 12–25, 2024 (Weeks 7–8) produced 18 incidents, accounting for 64% of February's entire monthly total and 9% of the full-year dataset in two weeks. A secondary cluster exists in October 12–21, 2024 (10 days), which produced 14 incidents. The 2:00 AM hour functions as a persistent structural concentration (17 incidents across the year) rather than a discrete burst, and is best classified as a recurring feature, not a spike.</t>
  </si>
  <si>
    <t>Count: 4 — (1) Amputation Dominance: 54 of 200 incidents (27%) involve amputations, with fingers as the overwhelmingly common body part (49 narratives mention "finger"), pointing to a systematic under-guarding problem on powered cutting, pressing, and shearing equipment across multiple industries. (2) Maintenance/Cleaning as a Distinct Risk Window: 20 incidents occur specifically during maintenance, cleaning, or testing operations where the machine should have been de-energized; at least 5 narratives explicitly document a lockout/tagout failure, and this operational context (non-routine, machine energized) generates some of the most severe multi-finger amputations in the dataset. (3) Geographic Concentration in Texas and Florida: Texas contributes 42 incidents (21%) and Florida 29 (14.5%), together making up 35.5% of all records, a share disproportionate even to their population and industrial scale relative to other large states like California (3 incidents) or Illinois (10 incidents). (4) Gloves as an Aggravating Factor: In all 4 narratives that mention gloves, the glove was caught by moving machinery and dragged the worker's hand into the hazard zone, converting a PPE item intended for protection into a mechanism of entrapment — a specific equipment-interaction failure pattern not captured in the event type taxonomy.</t>
  </si>
  <si>
    <t>Hour 2 (2am) is the single peak at 17 incidents, and the midnight-to-3am block leads all three-hour windows at 36. A secondary midday peak exists (noon = 15 incidents, noon-to-3pm = 33). However, these peaks are embedded in a distribution that ranges from 4 to 17 with no clean trough-to-peak progression across the day — the late-morning hours (9–11am) are quieter, but the curve between those anchor points is too irregular to call a consistent daily cycle. The pattern reflects a 24/7 workforce where risk is distributed around the clock, spiking at shift-start windows, not a structured diurnal rhythm.</t>
  </si>
  <si>
    <t>Only three calendar dates produced 3 incidents each: Saturday, October 12, 2024; Monday, October 21, 2024; and Sunday, December 8, 2024. No date exceeded 3. The dataset average is 0.55 incidents per calendar day, so two- and three-incident days are consistent with random variation rather than meaningful clustering around specific calendar dates. No single date stands out as a structurally important day. Many two-incident days are spread throughout the year without pattern.</t>
  </si>
  <si>
    <t>Sunday leads at 35 incidents and Monday is second at 33, creating a slight weekend-to-weekday boundary effect. Friday is the quietest weekday at 24. However, when adjusted for the number of each weekday in the 366-day dataset, the per-occurrence differences are small — weekdays average 27.6 incidents per day-of-week slot and weekend days 31.0, a 12% gap. The range from 24 (Friday) to 35 (Sunday) is not narrow, but the middle of the distribution (Tuesday through Thursday: 26–28) is essentially flat. There is no strong, consistent weekday-vs-weekend contrast sufficient to call a real cycle.</t>
  </si>
  <si>
    <t>February 2024 as a whole is the primary cluster, with 28 incidents against a dataset average of ~16.7 per month — a 68% elevation. The most concentrated sub-period is February 12–15, 2024, with 7 incidents in 4 consecutive days. Within the broader dataset, three individual dates each produced 3 incidents: October 12, 2024 (3 incidents), October 21, 2024 (3 incidents, occurring within a 2-hour-21-minute window from 7:25am to 9:46am), and December 8, 2024 (3 incidents, spread across a 1-hour-46-minute window from 13:17 to 15:03). No hour-range outside of the 2am peak (17 incidents in one hour) constitutes a confirmed operational spike.</t>
  </si>
  <si>
    <t>Count: 4 — (1) Texas Geographic Dominance: Texas accounts for 42 of 200 incidents (21%), more than double the second-ranked state of Florida (29, 14.5%), and more than 4× a proportional per-state share, reflecting concentrated industrial activity across oil, logistics, manufacturing, and construction sectors; (2) Maintenance/Lockout-Tagout Failure as Amputation Driver: 13 of 54 amputation incidents (24%) involve the specific event type "struck by running powered equipment during maintenance, cleaning, or testing," indicating a systematic failure to de-energize equipment before servicing — a pattern visible in the narratives, where workers reach into machines to clear jams or reposition parts while equipment remains powered; (3) Fall-to-Fracture, Equipment-to-Amputation Bifurcation: The injury-event relationship splits cleanly — 37 of 74 fractures (50%) derive from same-level or lower-level fall events, while 28 of 54 amputations (52%) derive from powered-equipment contact events, showing that the type of incident reliably predicts the category of injury; (4) Night-Shift Over-Representation at 2am: Hour 2 produces 17 incidents (8.5% of all cases) — the single highest-incident hour — driven by overnight industrial shifts in manufacturing, food processing, and warehousing, consistent with the narrative descriptions that place workers in factories, coolers, and distribution centers in the middle of the night.</t>
  </si>
  <si>
    <t>The four meteorological seasons are nearly identical: Winter 52, Summer 50, Fall 52, Spring 46. February alone stands at 28 incidents — the dataset's clear monthly outlier — but that single-month anomaly does not constitute a seasonal trend. The remaining 11 months fluctuate between 12 and 21 without a directional pattern tied to season. Heat events, which might drive a summer trend, total only 6 across the year and are absent in June, July, and August. February's spike is real but isolated; a seasonal pattern requires sustained directionality across multiple months, which is not present here.</t>
  </si>
  <si>
    <t>The 2 AM hour is the single busiest at 17 incidents (8.5% of all cases), and the overnight band of midnight through 5 AM collectively holds 58 incidents (29%), which is modestly above the proportional baseline of 25%. However, the distribution within that band is jagged — 2 AM spikes to 17 while adjacent hours sit at 9–10 — and there is no consistent intraday cycle that would repeat predictably from one day to the next. The pattern more likely reflects the industries (food processing, logistics, utilities) generating night-shift reports than a universal workplace rhythm. The 10 AM and 9 PM hours are tied at the minimum of 4 incidents each. Because no smooth or repeating hourly cycle emerges, this does not qualify as a confirmed trend.</t>
  </si>
  <si>
    <t>Three dates recorded 3 incidents each — Saturday, October 12, 2024; Monday, October 21, 2024; and Sunday, December 8, 2024 — the highest single-date counts in the dataset. An additional 31 dates recorded exactly 2 incidents. December 8 is notable in that its three incidents occurred within roughly 110 minutes of each other (1:17 PM, 2:56 PM, and 3:03 PM), spanning three different states. February 2024 showed the most incident-dense calendar footprint, with at least one incident on 20 of 28 calendar days. While no single date stands so far above the rest as to suggest a structured daily pattern, the clustering of peak days on Sundays and Mondays — and the overall density of February — gives the daily dimension a recognizable texture.</t>
  </si>
  <si>
    <t>Sunday leads all days at 35 incidents, followed by Monday at 33, while Friday is the lowest at 24. The mid-week days (Tuesday through Thursday) form a flat band of 26–28 incidents each. The overall weekday vs. weekend split is 138 to 62, but because 5 of 7 days are weekdays, the expected weekday share is ~71%; the actual share is 69%, meaning weekends are very slightly overrepresented rather than underrepresented. This finding argues against a clean "Monday–Friday workplace week" pattern. The Sunday peak likely reflects 24/7 industrial operations rather than a genuine weekly cycle. Because the day-of-week signal is modest (Sunday at 17.5% vs. Friday at 12.0%) and lacks a consistent rise-and-fall shape, it does not qualify as a confirmed weekly cycle.</t>
  </si>
  <si>
    <t>Monthly totals range from 12 (January, March, May, November) to 28 (February), with October second at 21 and December third at 19. There is no clean seasonal arc — neither a summer peak (June–August total: 54) nor a winter peak (December–February total: 59) is pronounced enough to be unambiguous. Heat incidents, which would be expected to cluster in summer, appear in January, February, April, May, and September — never in June, July, or August — contradicting the intuitive seasonal narrative. February's 28 is the dominant anomaly, but its narratives are not dominated by cold-weather causes, suggesting it may be a statistical artifact of a 200-incident sample rather than a seasonally driven pattern. Checked against traditional summer/winter injury hypotheses, the data does not support either cleanly.</t>
  </si>
  <si>
    <t>Three distinct clusters are identifiable. The largest is February 12–25, 2024 (14 calendar days), which produced 18 incidents — spanning weeks 7 and 8, which are the top two weeks in the dataset (10 and 8 incidents respectively). These 18 incidents occurred across 13 states and 10 event types, indicating breadth rather than a localized outbreak. The second cluster is October 6–21, 2024 (16 calendar days), with 19 incidents — including three individual dates with 2+ incidents and one with 3 (October 12). The third is December 3–8, 2024 (6 calendar days), with 9 incidents, three of which fell on December 8 alone. None of the clusters are geographically concentrated, ruling out a regional cause; they appear to reflect genuine reporting density fluctuations in the underlying OSHA filing pipeline.</t>
  </si>
  <si>
    <t>Count: 4 — (1) Geographic concentration: Texas (42 incidents, 21%) and Florida (29, 14.5%) together account for 35.5% of all cases despite representing roughly 15% of the U.S. workforce, suggesting disproportionate OSHA severe-injury reporting from Sun Belt industrial and construction sectors. (2) Finger/hand dominance: the word "finger" appears 74 times in combined narratives — the most mentioned body part, outpacing "hand" (30) by 2.5x and "foot" (24) by 3x, reflecting the prevalence of machine-contact amputations in manufacturing settings. (3) Maintenance-context danger: 20 of 53 machine-related incidents (38%) occurred during maintenance, cleaning, or testing — a context that represents a small fraction of total work hours, indicating severe underprotection during non-production machine interactions. (4) Dual injury profiles: falls account for ~77 incidents and predominantly cause fractures, while machine contacts account for ~53 incidents and drive the majority of amputations — two mechanically distinct injury pathways coexist in this dataset with different causal profiles and severity distributions.</t>
  </si>
  <si>
    <t>The 2:00 AM hour is the single highest with 17 incidents, and the noon hour is second with 15. Night-shift hours (midnight–5 AM) collectively account for 58 incidents (29%), slightly edging out afternoon (56, 28%) and morning (48, 24%). However, the distribution is jagged — ranging from a low of 4 incidents at 10:00 AM and 9:00 PM to that 17-incident spike at 2 AM — with no smooth, consistent intra-day cycle. The sample size of 200 incidents over 8,760 annual hours yields an expected random rate of ~0.83 per hour, making the variance between hours largely attributable to noise. No reliable repeating hourly pattern can be confirmed at this data density.</t>
  </si>
  <si>
    <t>Three dates tied as single-day highs with 3 incidents each: Saturday, October 12, 2024; Monday, October 21, 2024; and Sunday, December 8, 2024. No date reached 4 or more incidents. Thirty-four dates recorded exactly 2 incidents, which is expected at this dataset density. The 8-day gap from November 16–23 with zero incidents is the longest quiet stretch of the year. No individual date stands out as a meaningful outlier; the maximum of 3 incidents on any given day is too close to the dataset's noise floor to constitute a true "daily spike" distinct from the overall spike/cluster pattern.</t>
  </si>
  <si>
    <t>Sunday leads with 35 incidents and Monday follows with 33, while Friday is the lightest weekday at 24. The weekday-to-weekend ratio is 138:62 (69%:31%), slightly higher on weekends than the 71%:29% expected from a pure 5:2 day split. The range across all seven days spans only 11 incidents (24 to 35), which is not a meaningful gap in a 200-record dataset. There is no consistent weekday peak, no clear weekend trough, and no pattern replicable week-over-week — the day-of-week distribution is effectively flat.</t>
  </si>
  <si>
    <t>February is the highest single month at 28 incidents (14% of the year), driven partly by its 29 days (leap year) and partly by a genuine density of reports across 20 of those 29 days. October (21) and August (20) are the next highest. By quarter, the spread is Q1: 52, Q2: 46, Q3: 50, Q4: 52 — a range of only 6 incidents across quarters, indicating no meaningful seasonal swing. Heat-related incidents appear in September (2 cases) as expected, but the full heat category contains only 6 events total and includes 2 from January–February (indoor heat), making it insufficient to define a summer heat season. Flat quarterly distribution is the dominant finding.</t>
  </si>
  <si>
    <t>The clearest spike is ISO Week 7 (February 12–18, 2024), which produced 10 incidents — the highest weekly count of the year and roughly 2–3× the median weekly volume. The second spike is October 12–21, 2024 (10 calendar days), which produced 14 incidents including the only two triple-incident days outside December. December 8, 2024 (Sunday) recorded 3 incidents in a single day across three geographically unrelated states. Week 49 (December 1–7, 2024) produced 9 incidents, the second-highest weekly total. None of these clusters share a geographic or causal explanation, suggesting statistical coincidence in a dataset with moderate density rather than systemic event-driven spikes.</t>
  </si>
  <si>
    <t>Count: 4 — (1) Amputation dominance: 54 of 200 incidents (27%) result in amputations, making it the second-most-common injury category after fractures (74); 13 of those 54 amputation cases occurred specifically during maintenance, cleaning, or testing of still-energized equipment, yielding a 65% amputation rate within that maintenance-context sub-group. (2) Texas/Florida geographic concentration: Texas (42) and Florida (29) together account for 71 of 200 incidents (35.5%), a share dramatically disproportionate to their roughly 13% of national population, likely reflecting industrial mix, federal OSHA jurisdiction, and reporting infrastructure. (3) Falls as dominant mechanism (~40%): Combining all fall-related event types — same-level slips/trips (22), unspecified lower-level falls (13), falls from 6–30 feet (6), falls below 6 feet (5), and related subtypes — yields approximately 81 incidents, making falls the broadest single injury mechanism in the dataset by a wide margin, spanning construction, retail, healthcare, and warehousing contexts. (4) Finger/hand as primary amputation target: The word "finger" appears in 49 of 200 narratives, and across the 54 amputation cases the overwhelming majority describe finger-tip or first-knuckle loss, with whole-limb amputations being rare exceptions (one leg amputation in Nebraska, one foot in Illinois); in at least 3 cases the worker was wearing gloves at the time of the amputation, indicating PPE provided no meaningful protection against the mechanism involved.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</si>
</sst>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1" x14ac:knownFonts="1">
    <font>
      <sz val="11"/>
      <color theme="1"/>
      <name val="Calibri"/>
      <family val="2"/>
      <charset val="1"/>
    </font>
    <font>
      <b/>
      <sz val="16"/>
      <color rgb="FF1F3864"/>
      <name val="Calibri"/>
      <charset val="1"/>
    </font>
    <font>
      <b/>
      <sz val="11"/>
      <color rgb="FFFFFFFF"/>
      <name val="Calibri"/>
      <charset val="1"/>
    </font>
    <font>
      <b/>
      <sz val="10"/>
      <color rgb="FF1F2937"/>
      <name val="Calibri"/>
      <charset val="1"/>
    </font>
    <font>
      <sz val="10"/>
      <color rgb="FF1F2937"/>
      <name val="Calibri"/>
      <charset val="1"/>
    </font>
    <font>
      <sz val="10"/>
      <color rgb="FF1F2937"/>
      <name val="Calibri"/>
      <family val="2"/>
      <charset val="1"/>
    </font>
    <font>
      <b/>
      <sz val="11"/>
      <color rgb="FF1F2937"/>
      <name val="Calibri"/>
      <charset val="1"/>
    </font>
    <font>
      <sz val="10"/>
      <name val="Arial"/>
      <charset val="1"/>
    </font>
    <font>
      <b/>
      <sz val="12"/>
      <color rgb="FF1F3864"/>
      <name val="Calibri"/>
      <charset val="1"/>
    </font>
    <font>
      <sz val="10"/>
      <color theme="1"/>
      <name val="Calibri"/>
      <family val="2"/>
      <scheme val="minor"/>
    </font>
    <font>
      <sz val="10"/>
      <color rgb="FF1F2937"/>
      <name val="Calibri"/>
      <family val="2"/>
    </font>
  </fonts>
  <fills count="13">
    <fill>
      <patternFill patternType="none"/>
    </fill>
    <fill>
      <patternFill patternType="gray125"/>
    </fill>
    <fill>
      <patternFill patternType="solid">
        <fgColor rgb="FF1F3864"/>
        <bgColor rgb="FF1F2937"/>
      </patternFill>
    </fill>
    <fill>
      <patternFill patternType="solid">
        <fgColor rgb="FFE2EFDA"/>
        <bgColor rgb="FFD4EDDA"/>
      </patternFill>
    </fill>
    <fill>
      <patternFill patternType="solid">
        <fgColor rgb="FFF8F9FA"/>
        <bgColor rgb="FFFFFFFF"/>
      </patternFill>
    </fill>
    <fill>
      <patternFill patternType="solid">
        <fgColor rgb="FFFBE5D6"/>
        <bgColor rgb="FFF8D7DA"/>
      </patternFill>
    </fill>
    <fill>
      <patternFill patternType="solid">
        <fgColor rgb="FFE4D7F0"/>
        <bgColor rgb="FFD9D9D9"/>
      </patternFill>
    </fill>
    <fill>
      <patternFill patternType="solid">
        <fgColor rgb="FFA9D18E"/>
        <bgColor rgb="FFB3B3B3"/>
      </patternFill>
    </fill>
    <fill>
      <patternFill patternType="solid">
        <fgColor rgb="FFF4B183"/>
        <bgColor rgb="FFFF8080"/>
      </patternFill>
    </fill>
    <fill>
      <patternFill patternType="solid">
        <fgColor rgb="FFB196D1"/>
        <bgColor rgb="FF9CA3AF"/>
      </patternFill>
    </fill>
    <fill>
      <patternFill patternType="solid">
        <fgColor rgb="FF44546A"/>
        <bgColor rgb="FF1F3864"/>
      </patternFill>
    </fill>
    <fill>
      <patternFill patternType="solid">
        <fgColor rgb="FFEAF2FB"/>
        <bgColor rgb="FFE7F3FE"/>
      </patternFill>
    </fill>
    <fill>
      <patternFill patternType="solid">
        <fgColor theme="0"/>
        <bgColor indexed="64"/>
      </patternFill>
    </fill>
  </fills>
  <borders count="5">
    <border>
      <left/>
      <right/>
      <top/>
      <bottom/>
      <diagonal/>
    </border>
    <border>
      <left style="thin">
        <color rgb="FFD0D7DE"/>
      </left>
      <right style="thin">
        <color rgb="FFD0D7DE"/>
      </right>
      <top style="thin">
        <color rgb="FFD0D7DE"/>
      </top>
      <bottom style="medium">
        <color rgb="FF9CA3AF"/>
      </bottom>
      <diagonal/>
    </border>
    <border>
      <left style="thin">
        <color rgb="FFD0D7DE"/>
      </left>
      <right style="thin">
        <color rgb="FFD0D7DE"/>
      </right>
      <top style="thin">
        <color rgb="FFD0D7DE"/>
      </top>
      <bottom style="thin">
        <color rgb="FFD0D7DE"/>
      </bottom>
      <diagonal/>
    </border>
    <border>
      <left style="thin">
        <color rgb="FFD0D7DE"/>
      </left>
      <right/>
      <top style="thin">
        <color rgb="FFD0D7DE"/>
      </top>
      <bottom style="medium">
        <color rgb="FF9CA3AF"/>
      </bottom>
      <diagonal/>
    </border>
    <border>
      <left style="thin">
        <color rgb="FFD0D7DE"/>
      </left>
      <right style="thin">
        <color rgb="FFD0D7DE"/>
      </right>
      <top style="medium">
        <color rgb="FF9CA3AF"/>
      </top>
      <bottom style="thin">
        <color rgb="FFD0D7DE"/>
      </bottom>
      <diagonal/>
    </border>
  </borders>
  <cellStyleXfs count="1">
    <xf numFmtId="0" fontId="0" fillId="0" borderId="0"/>
  </cellStyleXfs>
  <cellXfs count="49">
    <xf numFmtId="0" fontId="0" fillId="0" borderId="0" xfId="0"/>
    <xf numFmtId="0" fontId="0" fillId="0" borderId="0" xfId="0" applyAlignment="1"/>
    <xf numFmtId="0" fontId="2" fillId="2" borderId="1" xfId="0" applyFont="1" applyFill="1" applyBorder="1" applyAlignment="1">
      <alignment horizontal="center" vertical="center" wrapText="1"/>
    </xf>
    <xf numFmtId="0" fontId="3" fillId="3" borderId="2" xfId="0" applyFont="1" applyFill="1" applyBorder="1" applyAlignment="1">
      <alignment horizontal="left" vertical="center" wrapText="1" inden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horizontal="left" vertical="top" wrapText="1" indent="1"/>
    </xf>
    <xf numFmtId="0" fontId="5" fillId="0" borderId="2" xfId="0" applyFont="1" applyBorder="1" applyAlignment="1">
      <alignment horizontal="left" vertical="top" wrapText="1" indent="1"/>
    </xf>
    <xf numFmtId="0" fontId="0" fillId="0" borderId="0" xfId="0" applyAlignment="1">
      <alignment horizontal="center" vertical="center"/>
    </xf>
    <xf numFmtId="0" fontId="4" fillId="0" borderId="2" xfId="0" applyFont="1" applyBorder="1" applyAlignment="1">
      <alignment horizontal="center" vertical="center" wrapText="1"/>
    </xf>
    <xf numFmtId="0" fontId="3" fillId="4"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2" xfId="0" applyFont="1" applyFill="1" applyBorder="1" applyAlignment="1">
      <alignment horizontal="left" vertical="top" wrapText="1" indent="1"/>
    </xf>
    <xf numFmtId="0" fontId="5" fillId="4" borderId="2" xfId="0" applyFont="1" applyFill="1" applyBorder="1" applyAlignment="1">
      <alignment horizontal="left" vertical="top" wrapText="1" indent="1"/>
    </xf>
    <xf numFmtId="0" fontId="3" fillId="5" borderId="2" xfId="0" applyFont="1" applyFill="1" applyBorder="1" applyAlignment="1">
      <alignment horizontal="left" vertical="center" wrapText="1" indent="1"/>
    </xf>
    <xf numFmtId="0" fontId="0" fillId="0" borderId="0" xfId="0" applyFont="1" applyAlignment="1">
      <alignment vertical="top" wrapText="1"/>
    </xf>
    <xf numFmtId="0" fontId="3" fillId="6" borderId="2" xfId="0" applyFont="1" applyFill="1" applyBorder="1" applyAlignment="1">
      <alignment horizontal="left" vertical="center" wrapText="1" indent="1"/>
    </xf>
    <xf numFmtId="0" fontId="2" fillId="10" borderId="1" xfId="0" applyFont="1" applyFill="1" applyBorder="1" applyAlignment="1">
      <alignment horizontal="center" vertical="center" wrapText="1"/>
    </xf>
    <xf numFmtId="0" fontId="0" fillId="4" borderId="2" xfId="0" applyFill="1" applyBorder="1" applyAlignment="1"/>
    <xf numFmtId="0" fontId="6" fillId="3"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4" fillId="0" borderId="2" xfId="0" applyFont="1" applyBorder="1" applyAlignment="1">
      <alignment horizontal="left" vertical="center" wrapText="1" indent="1"/>
    </xf>
    <xf numFmtId="164" fontId="3" fillId="0" borderId="2" xfId="0" applyNumberFormat="1" applyFont="1" applyBorder="1" applyAlignment="1">
      <alignment horizontal="center" vertical="center" wrapText="1"/>
    </xf>
    <xf numFmtId="0" fontId="4" fillId="4" borderId="2" xfId="0" applyFont="1" applyFill="1" applyBorder="1" applyAlignment="1">
      <alignment horizontal="left" vertical="center" wrapText="1" indent="1"/>
    </xf>
    <xf numFmtId="164" fontId="3" fillId="4" borderId="2" xfId="0" applyNumberFormat="1" applyFont="1" applyFill="1" applyBorder="1" applyAlignment="1">
      <alignment horizontal="center" vertical="center" wrapText="1"/>
    </xf>
    <xf numFmtId="0" fontId="3" fillId="11" borderId="4" xfId="0" applyFont="1" applyFill="1" applyBorder="1" applyAlignment="1">
      <alignment horizontal="left" vertical="center" wrapText="1" indent="1"/>
    </xf>
    <xf numFmtId="2" fontId="3" fillId="11" borderId="4" xfId="0" applyNumberFormat="1" applyFont="1" applyFill="1" applyBorder="1" applyAlignment="1">
      <alignment horizontal="center" vertical="center" wrapText="1"/>
    </xf>
    <xf numFmtId="164" fontId="3" fillId="11" borderId="4" xfId="0" applyNumberFormat="1" applyFont="1" applyFill="1" applyBorder="1" applyAlignment="1">
      <alignment horizontal="center" vertical="center" wrapText="1"/>
    </xf>
    <xf numFmtId="0" fontId="3" fillId="11" borderId="4" xfId="0" applyFont="1" applyFill="1" applyBorder="1" applyAlignment="1">
      <alignment horizontal="center" vertical="center" wrapText="1"/>
    </xf>
    <xf numFmtId="2" fontId="3" fillId="4" borderId="2"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3" fillId="0" borderId="2" xfId="0" applyFont="1" applyBorder="1" applyAlignment="1">
      <alignment horizontal="left" vertical="center" wrapText="1" indent="1"/>
    </xf>
    <xf numFmtId="164" fontId="4" fillId="0" borderId="2" xfId="0" applyNumberFormat="1" applyFont="1" applyBorder="1" applyAlignment="1">
      <alignment horizontal="center" vertical="center" wrapText="1"/>
    </xf>
    <xf numFmtId="0" fontId="3" fillId="4" borderId="2" xfId="0" applyFont="1" applyFill="1" applyBorder="1" applyAlignment="1">
      <alignment horizontal="left" vertical="center" wrapText="1" indent="1"/>
    </xf>
    <xf numFmtId="164" fontId="4" fillId="4" borderId="2" xfId="0" applyNumberFormat="1" applyFont="1" applyFill="1" applyBorder="1" applyAlignment="1">
      <alignment horizontal="center" vertical="center" wrapText="1"/>
    </xf>
    <xf numFmtId="0" fontId="1" fillId="0" borderId="0" xfId="0" applyFont="1" applyAlignment="1">
      <alignment horizontal="left" vertical="center" indent="1"/>
    </xf>
    <xf numFmtId="0" fontId="7" fillId="0" borderId="0" xfId="0" applyFont="1" applyAlignment="1">
      <alignment horizontal="left" vertical="top" wrapText="1"/>
    </xf>
    <xf numFmtId="0" fontId="8" fillId="11" borderId="0" xfId="0" applyFont="1" applyFill="1" applyAlignment="1">
      <alignment horizontal="left" vertical="center" indent="1"/>
    </xf>
    <xf numFmtId="0" fontId="4" fillId="0" borderId="0" xfId="0" applyFont="1" applyAlignment="1">
      <alignment horizontal="left" vertical="top" wrapText="1" indent="1"/>
    </xf>
    <xf numFmtId="0" fontId="4" fillId="12" borderId="2" xfId="0" applyFont="1" applyFill="1" applyBorder="1" applyAlignment="1">
      <alignment horizontal="left" vertical="center" wrapText="1" indent="1"/>
    </xf>
    <xf numFmtId="0" fontId="9" fillId="0" borderId="0" xfId="0" applyFont="1" applyAlignment="1">
      <alignment vertical="top" wrapText="1"/>
    </xf>
    <xf numFmtId="0" fontId="10" fillId="0" borderId="2" xfId="0" applyFont="1" applyBorder="1" applyAlignment="1">
      <alignment horizontal="left" vertical="top" wrapText="1" indent="1"/>
    </xf>
    <xf numFmtId="0" fontId="1" fillId="0" borderId="0" xfId="0" applyFont="1" applyBorder="1" applyAlignment="1">
      <alignment horizontal="left" vertical="center" indent="1"/>
    </xf>
    <xf numFmtId="0" fontId="6" fillId="7" borderId="3" xfId="0" applyFont="1" applyFill="1" applyBorder="1" applyAlignment="1">
      <alignment horizontal="center" vertical="center" wrapText="1"/>
    </xf>
    <xf numFmtId="0" fontId="6" fillId="8" borderId="3" xfId="0" applyFont="1" applyFill="1" applyBorder="1" applyAlignment="1">
      <alignment horizontal="center" vertical="center" wrapText="1"/>
    </xf>
    <xf numFmtId="0" fontId="6" fillId="9" borderId="3" xfId="0" applyFont="1" applyFill="1" applyBorder="1" applyAlignment="1">
      <alignment horizontal="center" vertical="center" wrapText="1"/>
    </xf>
  </cellXfs>
  <cellStyles count="1">
    <cellStyle name="Normal" xfId="0" builtinId="0"/>
  </cellStyles>
  <dxfs count="23">
    <dxf>
      <font>
        <b/>
        <sz val="10"/>
        <color rgb="FF1F2937"/>
        <name val="Calibri"/>
      </font>
      <fill>
        <patternFill>
          <bgColor rgb="FFE4D7F0"/>
        </patternFill>
      </fill>
    </dxf>
    <dxf>
      <font>
        <b/>
        <sz val="10"/>
        <color rgb="FF1F2937"/>
        <name val="Calibri"/>
      </font>
      <fill>
        <patternFill>
          <bgColor rgb="FFFBE5D6"/>
        </patternFill>
      </fill>
    </dxf>
    <dxf>
      <font>
        <b/>
        <sz val="10"/>
        <color rgb="FF1F2937"/>
        <name val="Calibri"/>
      </font>
      <fill>
        <patternFill>
          <bgColor rgb="FFE2EFDA"/>
        </patternFill>
      </fill>
    </dxf>
    <dxf>
      <font>
        <sz val="10"/>
        <color rgb="FF1F3864"/>
        <name val="Calibri"/>
      </font>
      <fill>
        <patternFill>
          <bgColor rgb="FFE7F3FE"/>
        </patternFill>
      </fill>
    </dxf>
    <dxf>
      <font>
        <b/>
        <sz val="10"/>
        <color rgb="FF1F3864"/>
        <name val="Calibri"/>
      </font>
      <fill>
        <patternFill>
          <bgColor rgb="FFB6E0FE"/>
        </patternFill>
      </fill>
    </dxf>
    <dxf>
      <font>
        <b/>
        <sz val="10"/>
        <color rgb="FF856404"/>
        <name val="Calibri"/>
      </font>
      <fill>
        <patternFill>
          <bgColor rgb="FFFFF3CD"/>
        </patternFill>
      </fill>
    </dxf>
    <dxf>
      <font>
        <b/>
        <sz val="10"/>
        <color rgb="FF721C24"/>
        <name val="Calibri"/>
      </font>
      <fill>
        <patternFill>
          <bgColor rgb="FFF8D7DA"/>
        </patternFill>
      </fill>
    </dxf>
    <dxf>
      <font>
        <b/>
        <sz val="10"/>
        <color rgb="FF155724"/>
        <name val="Calibri"/>
      </font>
      <fill>
        <patternFill>
          <bgColor rgb="FFD4EDDA"/>
        </patternFill>
      </fill>
    </dxf>
    <dxf>
      <font>
        <b/>
        <sz val="10"/>
        <color rgb="FF856404"/>
        <name val="Calibri"/>
      </font>
      <fill>
        <patternFill>
          <bgColor rgb="FFFFF3CD"/>
        </patternFill>
      </fill>
    </dxf>
    <dxf>
      <font>
        <b/>
        <sz val="10"/>
        <color rgb="FF721C24"/>
        <name val="Calibri"/>
      </font>
      <fill>
        <patternFill>
          <bgColor rgb="FFF8D7DA"/>
        </patternFill>
      </fill>
    </dxf>
    <dxf>
      <font>
        <b/>
        <sz val="10"/>
        <color rgb="FF155724"/>
        <name val="Calibri"/>
      </font>
      <fill>
        <patternFill>
          <bgColor rgb="FFD4EDDA"/>
        </patternFill>
      </fill>
    </dxf>
    <dxf>
      <font>
        <b/>
        <sz val="10"/>
        <color rgb="FF856404"/>
        <name val="Calibri"/>
      </font>
      <fill>
        <patternFill>
          <bgColor rgb="FFFFF3CD"/>
        </patternFill>
      </fill>
    </dxf>
    <dxf>
      <font>
        <b/>
        <sz val="10"/>
        <color rgb="FF721C24"/>
        <name val="Calibri"/>
      </font>
      <fill>
        <patternFill>
          <bgColor rgb="FFF8D7DA"/>
        </patternFill>
      </fill>
    </dxf>
    <dxf>
      <font>
        <b/>
        <sz val="10"/>
        <color rgb="FF155724"/>
        <name val="Calibri"/>
      </font>
      <fill>
        <patternFill>
          <bgColor rgb="FFD4EDDA"/>
        </patternFill>
      </fill>
    </dxf>
    <dxf>
      <font>
        <b/>
        <sz val="10"/>
        <color rgb="FF856404"/>
        <name val="Calibri"/>
      </font>
      <fill>
        <patternFill>
          <bgColor rgb="FFFFF3CD"/>
        </patternFill>
      </fill>
    </dxf>
    <dxf>
      <font>
        <b/>
        <sz val="10"/>
        <color rgb="FF721C24"/>
        <name val="Calibri"/>
      </font>
      <fill>
        <patternFill>
          <bgColor rgb="FFF8D7DA"/>
        </patternFill>
      </fill>
    </dxf>
    <dxf>
      <font>
        <b/>
        <sz val="10"/>
        <color rgb="FF155724"/>
        <name val="Calibri"/>
      </font>
      <fill>
        <patternFill>
          <bgColor rgb="FFD4EDDA"/>
        </patternFill>
      </fill>
    </dxf>
    <dxf>
      <font>
        <b/>
        <sz val="10"/>
        <color rgb="FF856404"/>
        <name val="Calibri"/>
      </font>
      <fill>
        <patternFill>
          <bgColor rgb="FFFFF3CD"/>
        </patternFill>
      </fill>
    </dxf>
    <dxf>
      <font>
        <b/>
        <sz val="10"/>
        <color rgb="FF721C24"/>
        <name val="Calibri"/>
      </font>
      <fill>
        <patternFill>
          <bgColor rgb="FFF8D7DA"/>
        </patternFill>
      </fill>
    </dxf>
    <dxf>
      <font>
        <b/>
        <sz val="10"/>
        <color rgb="FF155724"/>
        <name val="Calibri"/>
      </font>
      <fill>
        <patternFill>
          <bgColor rgb="FFD4EDDA"/>
        </patternFill>
      </fill>
    </dxf>
    <dxf>
      <font>
        <b/>
        <sz val="10"/>
        <color rgb="FF856404"/>
        <name val="Calibri"/>
      </font>
      <fill>
        <patternFill>
          <bgColor rgb="FFFFF3CD"/>
        </patternFill>
      </fill>
    </dxf>
    <dxf>
      <font>
        <b/>
        <sz val="10"/>
        <color rgb="FF721C24"/>
        <name val="Calibri"/>
      </font>
      <fill>
        <patternFill>
          <bgColor rgb="FFF8D7DA"/>
        </patternFill>
      </fill>
    </dxf>
    <dxf>
      <font>
        <b/>
        <sz val="10"/>
        <color rgb="FF155724"/>
        <name val="Calibri"/>
      </font>
      <fill>
        <patternFill>
          <bgColor rgb="FFD4EDDA"/>
        </patternFill>
      </fill>
    </dxf>
  </dxfs>
  <tableStyles count="0" defaultTableStyle="TableStyleMedium2" defaultPivotStyle="PivotStyleLight16"/>
  <colors>
    <indexedColors>
      <rgbColor rgb="FF000000"/>
      <rgbColor rgb="FFFFFFFF"/>
      <rgbColor rgb="FFFF0000"/>
      <rgbColor rgb="FF00FF00"/>
      <rgbColor rgb="FF0000FF"/>
      <rgbColor rgb="FFE2EFDA"/>
      <rgbColor rgb="FFFF00FF"/>
      <rgbColor rgb="FF00FFFF"/>
      <rgbColor rgb="FF721C24"/>
      <rgbColor rgb="FF008000"/>
      <rgbColor rgb="FF000080"/>
      <rgbColor rgb="FF856404"/>
      <rgbColor rgb="FF800080"/>
      <rgbColor rgb="FF008080"/>
      <rgbColor rgb="FFB3B3B3"/>
      <rgbColor rgb="FF808080"/>
      <rgbColor rgb="FFB196D1"/>
      <rgbColor rgb="FF993366"/>
      <rgbColor rgb="FFFFF3CD"/>
      <rgbColor rgb="FFE7F3FE"/>
      <rgbColor rgb="FF660066"/>
      <rgbColor rgb="FFFF8080"/>
      <rgbColor rgb="FF0066CC"/>
      <rgbColor rgb="FFD0D7DE"/>
      <rgbColor rgb="FF000080"/>
      <rgbColor rgb="FFFF00FF"/>
      <rgbColor rgb="FFF8F9FA"/>
      <rgbColor rgb="FF00FFFF"/>
      <rgbColor rgb="FF800080"/>
      <rgbColor rgb="FF800000"/>
      <rgbColor rgb="FF008080"/>
      <rgbColor rgb="FF0000FF"/>
      <rgbColor rgb="FF00CCFF"/>
      <rgbColor rgb="FFEAF2FB"/>
      <rgbColor rgb="FFD4EDDA"/>
      <rgbColor rgb="FFFBE5D6"/>
      <rgbColor rgb="FFB6E0FE"/>
      <rgbColor rgb="FFF8D7DA"/>
      <rgbColor rgb="FFE4D7F0"/>
      <rgbColor rgb="FFF4B183"/>
      <rgbColor rgb="FF3366FF"/>
      <rgbColor rgb="FF33CCCC"/>
      <rgbColor rgb="FFA9D18E"/>
      <rgbColor rgb="FFD9D9D9"/>
      <rgbColor rgb="FFFF9900"/>
      <rgbColor rgb="FFFF6600"/>
      <rgbColor rgb="FF44546A"/>
      <rgbColor rgb="FF9CA3AF"/>
      <rgbColor rgb="FF1F3864"/>
      <rgbColor rgb="FF339966"/>
      <rgbColor rgb="FF155724"/>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mruColors>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Trend Detection Rate by Model</a:t>
            </a:r>
          </a:p>
        </c:rich>
      </c:tx>
      <c:layout/>
      <c:overlay val="0"/>
      <c:spPr>
        <a:noFill/>
        <a:ln w="0">
          <a:noFill/>
        </a:ln>
      </c:spPr>
    </c:title>
    <c:autoTitleDeleted val="0"/>
    <c:plotArea>
      <c:layout/>
      <c:barChart>
        <c:barDir val="col"/>
        <c:grouping val="clustered"/>
        <c:varyColors val="0"/>
        <c:ser>
          <c:idx val="0"/>
          <c:order val="0"/>
          <c:tx>
            <c:strRef>
              <c:f>Charts!$B$3</c:f>
              <c:strCache>
                <c:ptCount val="1"/>
                <c:pt idx="0">
                  <c:v>ChatGPT 5.5</c:v>
                </c:pt>
              </c:strCache>
            </c:strRef>
          </c:tx>
          <c:spPr>
            <a:solidFill>
              <a:srgbClr val="A9D18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Charts!$A$4:$A$9</c:f>
              <c:strCache>
                <c:ptCount val="6"/>
                <c:pt idx="0">
                  <c:v>Hourly</c:v>
                </c:pt>
                <c:pt idx="1">
                  <c:v>Daily</c:v>
                </c:pt>
                <c:pt idx="2">
                  <c:v>Weekly</c:v>
                </c:pt>
                <c:pt idx="3">
                  <c:v>Monthly/Seasonal</c:v>
                </c:pt>
                <c:pt idx="4">
                  <c:v>Spike/Cluster</c:v>
                </c:pt>
                <c:pt idx="5">
                  <c:v>Other</c:v>
                </c:pt>
              </c:strCache>
            </c:strRef>
          </c:cat>
          <c:val>
            <c:numRef>
              <c:f>Charts!$B$4:$B$9</c:f>
              <c:numCache>
                <c:formatCode>0.0%</c:formatCode>
                <c:ptCount val="6"/>
                <c:pt idx="0">
                  <c:v>0.76666666666666672</c:v>
                </c:pt>
                <c:pt idx="1">
                  <c:v>3.3333333333333333E-2</c:v>
                </c:pt>
                <c:pt idx="2">
                  <c:v>0.3</c:v>
                </c:pt>
                <c:pt idx="3">
                  <c:v>0.8666666666666667</c:v>
                </c:pt>
                <c:pt idx="4">
                  <c:v>1</c:v>
                </c:pt>
                <c:pt idx="5">
                  <c:v>1</c:v>
                </c:pt>
              </c:numCache>
            </c:numRef>
          </c:val>
          <c:extLst>
            <c:ext xmlns:c16="http://schemas.microsoft.com/office/drawing/2014/chart" uri="{C3380CC4-5D6E-409C-BE32-E72D297353CC}">
              <c16:uniqueId val="{00000000-C944-48D6-B8FB-07F4AC2569AD}"/>
            </c:ext>
          </c:extLst>
        </c:ser>
        <c:ser>
          <c:idx val="1"/>
          <c:order val="1"/>
          <c:tx>
            <c:strRef>
              <c:f>Charts!$C$3</c:f>
              <c:strCache>
                <c:ptCount val="1"/>
                <c:pt idx="0">
                  <c:v>Claude Sonnet 4.6</c:v>
                </c:pt>
              </c:strCache>
            </c:strRef>
          </c:tx>
          <c:spPr>
            <a:solidFill>
              <a:srgbClr val="F4B183"/>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Charts!$A$4:$A$9</c:f>
              <c:strCache>
                <c:ptCount val="6"/>
                <c:pt idx="0">
                  <c:v>Hourly</c:v>
                </c:pt>
                <c:pt idx="1">
                  <c:v>Daily</c:v>
                </c:pt>
                <c:pt idx="2">
                  <c:v>Weekly</c:v>
                </c:pt>
                <c:pt idx="3">
                  <c:v>Monthly/Seasonal</c:v>
                </c:pt>
                <c:pt idx="4">
                  <c:v>Spike/Cluster</c:v>
                </c:pt>
                <c:pt idx="5">
                  <c:v>Other</c:v>
                </c:pt>
              </c:strCache>
            </c:strRef>
          </c:cat>
          <c:val>
            <c:numRef>
              <c:f>Charts!$C$4:$C$9</c:f>
              <c:numCache>
                <c:formatCode>0.0%</c:formatCode>
                <c:ptCount val="6"/>
                <c:pt idx="0">
                  <c:v>0.53333333333333333</c:v>
                </c:pt>
                <c:pt idx="1">
                  <c:v>0.1</c:v>
                </c:pt>
                <c:pt idx="2">
                  <c:v>3.3333333333333333E-2</c:v>
                </c:pt>
                <c:pt idx="3">
                  <c:v>6.6666666666666666E-2</c:v>
                </c:pt>
                <c:pt idx="4">
                  <c:v>1</c:v>
                </c:pt>
                <c:pt idx="5">
                  <c:v>1</c:v>
                </c:pt>
              </c:numCache>
            </c:numRef>
          </c:val>
          <c:extLst>
            <c:ext xmlns:c16="http://schemas.microsoft.com/office/drawing/2014/chart" uri="{C3380CC4-5D6E-409C-BE32-E72D297353CC}">
              <c16:uniqueId val="{00000001-C944-48D6-B8FB-07F4AC2569AD}"/>
            </c:ext>
          </c:extLst>
        </c:ser>
        <c:ser>
          <c:idx val="2"/>
          <c:order val="2"/>
          <c:tx>
            <c:strRef>
              <c:f>Charts!$D$3</c:f>
              <c:strCache>
                <c:ptCount val="1"/>
                <c:pt idx="0">
                  <c:v>Gemini 3.1 Pro</c:v>
                </c:pt>
              </c:strCache>
            </c:strRef>
          </c:tx>
          <c:spPr>
            <a:solidFill>
              <a:srgbClr val="B196D1"/>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Charts!$A$4:$A$9</c:f>
              <c:strCache>
                <c:ptCount val="6"/>
                <c:pt idx="0">
                  <c:v>Hourly</c:v>
                </c:pt>
                <c:pt idx="1">
                  <c:v>Daily</c:v>
                </c:pt>
                <c:pt idx="2">
                  <c:v>Weekly</c:v>
                </c:pt>
                <c:pt idx="3">
                  <c:v>Monthly/Seasonal</c:v>
                </c:pt>
                <c:pt idx="4">
                  <c:v>Spike/Cluster</c:v>
                </c:pt>
                <c:pt idx="5">
                  <c:v>Other</c:v>
                </c:pt>
              </c:strCache>
            </c:strRef>
          </c:cat>
          <c:val>
            <c:numRef>
              <c:f>Charts!$D$4:$D$9</c:f>
              <c:numCache>
                <c:formatCode>0.0%</c:formatCode>
                <c:ptCount val="6"/>
                <c:pt idx="0">
                  <c:v>0.56666666666666665</c:v>
                </c:pt>
                <c:pt idx="1">
                  <c:v>0.36666666666666664</c:v>
                </c:pt>
                <c:pt idx="2">
                  <c:v>0.7</c:v>
                </c:pt>
                <c:pt idx="3">
                  <c:v>0.66666666666666663</c:v>
                </c:pt>
                <c:pt idx="4">
                  <c:v>0.96666666666666667</c:v>
                </c:pt>
                <c:pt idx="5">
                  <c:v>1</c:v>
                </c:pt>
              </c:numCache>
            </c:numRef>
          </c:val>
          <c:extLst>
            <c:ext xmlns:c16="http://schemas.microsoft.com/office/drawing/2014/chart" uri="{C3380CC4-5D6E-409C-BE32-E72D297353CC}">
              <c16:uniqueId val="{00000002-C944-48D6-B8FB-07F4AC2569AD}"/>
            </c:ext>
          </c:extLst>
        </c:ser>
        <c:dLbls>
          <c:showLegendKey val="0"/>
          <c:showVal val="0"/>
          <c:showCatName val="0"/>
          <c:showSerName val="0"/>
          <c:showPercent val="0"/>
          <c:showBubbleSize val="0"/>
        </c:dLbls>
        <c:gapWidth val="150"/>
        <c:axId val="37557836"/>
        <c:axId val="15207911"/>
      </c:barChart>
      <c:catAx>
        <c:axId val="37557836"/>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Trend type</a:t>
                </a:r>
              </a:p>
            </c:rich>
          </c:tx>
          <c:layout/>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5207911"/>
        <c:crosses val="autoZero"/>
        <c:auto val="1"/>
        <c:lblAlgn val="ctr"/>
        <c:lblOffset val="100"/>
        <c:noMultiLvlLbl val="0"/>
      </c:catAx>
      <c:valAx>
        <c:axId val="15207911"/>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Detection rate</a:t>
                </a:r>
              </a:p>
            </c:rich>
          </c:tx>
          <c:layout/>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7557836"/>
        <c:crosses val="autoZero"/>
        <c:crossBetween val="between"/>
      </c:valAx>
      <c:spPr>
        <a:noFill/>
        <a:ln w="0">
          <a:noFill/>
        </a:ln>
      </c:spPr>
    </c:plotArea>
    <c:legend>
      <c:legendPos val="r"/>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17</xdr:col>
      <xdr:colOff>571320</xdr:colOff>
      <xdr:row>19</xdr:row>
      <xdr:rowOff>30960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2"/>
  <sheetViews>
    <sheetView zoomScale="85" zoomScaleNormal="85" workbookViewId="0">
      <pane xSplit="2" ySplit="2" topLeftCell="C57" activePane="bottomRight" state="frozen"/>
      <selection pane="topRight" activeCell="C1" sqref="C1"/>
      <selection pane="bottomLeft" activeCell="A33" sqref="A33"/>
      <selection pane="bottomRight" activeCell="D57" sqref="D57"/>
    </sheetView>
  </sheetViews>
  <sheetFormatPr defaultColWidth="8.6328125" defaultRowHeight="14.5" x14ac:dyDescent="0.35"/>
  <cols>
    <col min="1" max="1" width="16.08984375" style="1" customWidth="1"/>
    <col min="2" max="2" width="5.54296875" style="1" customWidth="1"/>
    <col min="3" max="3" width="12.6328125" style="1" customWidth="1"/>
    <col min="4" max="4" width="33" style="1" customWidth="1"/>
    <col min="5" max="5" width="11.1796875" style="1" customWidth="1"/>
    <col min="6" max="6" width="37.453125" style="1" customWidth="1"/>
    <col min="7" max="7" width="11.7265625" style="1" customWidth="1"/>
    <col min="8" max="8" width="38.81640625" style="1" customWidth="1"/>
    <col min="9" max="9" width="12.453125" style="1" customWidth="1"/>
    <col min="10" max="10" width="33.453125" style="1" customWidth="1"/>
    <col min="11" max="11" width="12" style="1" customWidth="1"/>
    <col min="12" max="12" width="28.453125" style="1" customWidth="1"/>
    <col min="13" max="13" width="11.90625" style="1" customWidth="1"/>
    <col min="14" max="14" width="41.54296875" style="1" customWidth="1"/>
    <col min="15" max="15" width="9.6328125" style="1" customWidth="1"/>
    <col min="16" max="16" width="13.6328125" style="1" customWidth="1"/>
    <col min="17" max="17" width="11.26953125" style="1" customWidth="1"/>
    <col min="18" max="18" width="19" style="1" customWidth="1"/>
  </cols>
  <sheetData>
    <row r="1" spans="1:17" ht="31.5" customHeight="1" x14ac:dyDescent="0.35">
      <c r="A1" s="45" t="s">
        <v>0</v>
      </c>
      <c r="B1" s="45"/>
      <c r="C1" s="45"/>
      <c r="D1" s="45"/>
      <c r="E1" s="45"/>
      <c r="F1" s="45"/>
      <c r="G1" s="45"/>
      <c r="H1" s="45"/>
      <c r="I1" s="45"/>
      <c r="J1" s="45"/>
      <c r="K1" s="45"/>
      <c r="L1" s="45"/>
      <c r="M1" s="45"/>
      <c r="N1" s="45"/>
      <c r="O1" s="45"/>
      <c r="P1" s="45"/>
      <c r="Q1" s="45"/>
    </row>
    <row r="2" spans="1:17" ht="43.5" customHeight="1" x14ac:dyDescent="0.3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row>
    <row r="3" spans="1:17" ht="60" customHeight="1" x14ac:dyDescent="0.35">
      <c r="A3" s="3" t="s">
        <v>18</v>
      </c>
      <c r="B3" s="4">
        <v>1</v>
      </c>
      <c r="C3" s="5" t="s">
        <v>19</v>
      </c>
      <c r="D3" s="6" t="s">
        <v>20</v>
      </c>
      <c r="E3" s="5" t="s">
        <v>21</v>
      </c>
      <c r="F3" s="6" t="s">
        <v>22</v>
      </c>
      <c r="G3" s="5" t="s">
        <v>19</v>
      </c>
      <c r="H3" s="6" t="s">
        <v>23</v>
      </c>
      <c r="I3" s="5" t="s">
        <v>19</v>
      </c>
      <c r="J3" s="6" t="s">
        <v>24</v>
      </c>
      <c r="K3" s="5" t="s">
        <v>19</v>
      </c>
      <c r="L3" s="6" t="s">
        <v>25</v>
      </c>
      <c r="M3" s="5" t="s">
        <v>19</v>
      </c>
      <c r="N3" s="7" t="s">
        <v>26</v>
      </c>
      <c r="O3" s="8">
        <f t="shared" ref="O3:O34" si="0">COUNTIF(C3,"Yes")+COUNTIF(E3,"Yes")+COUNTIF(G3,"Yes")+COUNTIF(I3,"Yes")+COUNTIF(K3,"Yes")</f>
        <v>4</v>
      </c>
      <c r="P3" s="9">
        <f>IF(M3="Yes",SUMPRODUCT(--ISNUMBER(SEARCH({"(1)";"(2)";"(3)";"(4)";"(5)";"(6)";"(7)";"(8)";"(9)"},N3))),0)</f>
        <v>5</v>
      </c>
      <c r="Q3" s="9">
        <f t="shared" ref="Q3:Q34" si="1">O3+P3</f>
        <v>9</v>
      </c>
    </row>
    <row r="4" spans="1:17" ht="60" customHeight="1" x14ac:dyDescent="0.35">
      <c r="A4" s="3" t="s">
        <v>18</v>
      </c>
      <c r="B4" s="10">
        <v>2</v>
      </c>
      <c r="C4" s="11" t="s">
        <v>19</v>
      </c>
      <c r="D4" s="12" t="s">
        <v>27</v>
      </c>
      <c r="E4" s="11" t="s">
        <v>21</v>
      </c>
      <c r="F4" s="12" t="s">
        <v>28</v>
      </c>
      <c r="G4" s="11" t="s">
        <v>21</v>
      </c>
      <c r="H4" s="12" t="s">
        <v>29</v>
      </c>
      <c r="I4" s="11" t="s">
        <v>19</v>
      </c>
      <c r="J4" s="12" t="s">
        <v>30</v>
      </c>
      <c r="K4" s="11" t="s">
        <v>19</v>
      </c>
      <c r="L4" s="12" t="s">
        <v>31</v>
      </c>
      <c r="M4" s="11" t="s">
        <v>19</v>
      </c>
      <c r="N4" s="13" t="s">
        <v>32</v>
      </c>
      <c r="O4" s="8">
        <f t="shared" si="0"/>
        <v>3</v>
      </c>
      <c r="P4" s="9">
        <f>IF(M4="Yes",SUMPRODUCT(--ISNUMBER(SEARCH({"(1)";"(2)";"(3)";"(4)";"(5)";"(6)";"(7)";"(8)";"(9)"},N4))),0)</f>
        <v>4</v>
      </c>
      <c r="Q4" s="9">
        <f t="shared" si="1"/>
        <v>7</v>
      </c>
    </row>
    <row r="5" spans="1:17" ht="60" customHeight="1" x14ac:dyDescent="0.35">
      <c r="A5" s="3" t="s">
        <v>18</v>
      </c>
      <c r="B5" s="4">
        <v>3</v>
      </c>
      <c r="C5" s="5" t="s">
        <v>19</v>
      </c>
      <c r="D5" s="6" t="s">
        <v>33</v>
      </c>
      <c r="E5" s="5" t="s">
        <v>21</v>
      </c>
      <c r="F5" s="6" t="s">
        <v>34</v>
      </c>
      <c r="G5" s="5" t="s">
        <v>21</v>
      </c>
      <c r="H5" s="6" t="s">
        <v>35</v>
      </c>
      <c r="I5" s="5" t="s">
        <v>19</v>
      </c>
      <c r="J5" s="6" t="s">
        <v>36</v>
      </c>
      <c r="K5" s="5" t="s">
        <v>19</v>
      </c>
      <c r="L5" s="6" t="s">
        <v>37</v>
      </c>
      <c r="M5" s="5" t="s">
        <v>19</v>
      </c>
      <c r="N5" s="7" t="s">
        <v>38</v>
      </c>
      <c r="O5" s="8">
        <f t="shared" si="0"/>
        <v>3</v>
      </c>
      <c r="P5" s="9">
        <f>IF(M5="Yes",SUMPRODUCT(--ISNUMBER(SEARCH({"(1)";"(2)";"(3)";"(4)";"(5)";"(6)";"(7)";"(8)";"(9)"},N5))),0)</f>
        <v>5</v>
      </c>
      <c r="Q5" s="9">
        <f t="shared" si="1"/>
        <v>8</v>
      </c>
    </row>
    <row r="6" spans="1:17" ht="60" customHeight="1" x14ac:dyDescent="0.35">
      <c r="A6" s="3" t="s">
        <v>18</v>
      </c>
      <c r="B6" s="10">
        <v>4</v>
      </c>
      <c r="C6" s="11" t="s">
        <v>19</v>
      </c>
      <c r="D6" s="12" t="s">
        <v>39</v>
      </c>
      <c r="E6" s="11" t="s">
        <v>21</v>
      </c>
      <c r="F6" s="12" t="s">
        <v>40</v>
      </c>
      <c r="G6" s="11" t="s">
        <v>19</v>
      </c>
      <c r="H6" s="12" t="s">
        <v>41</v>
      </c>
      <c r="I6" s="11" t="s">
        <v>19</v>
      </c>
      <c r="J6" s="12" t="s">
        <v>42</v>
      </c>
      <c r="K6" s="11" t="s">
        <v>19</v>
      </c>
      <c r="L6" s="12" t="s">
        <v>43</v>
      </c>
      <c r="M6" s="11" t="s">
        <v>19</v>
      </c>
      <c r="N6" s="13" t="s">
        <v>44</v>
      </c>
      <c r="O6" s="8">
        <f t="shared" si="0"/>
        <v>4</v>
      </c>
      <c r="P6" s="9">
        <f>IF(M6="Yes",SUMPRODUCT(--ISNUMBER(SEARCH({"(1)";"(2)";"(3)";"(4)";"(5)";"(6)";"(7)";"(8)";"(9)"},N6))),0)</f>
        <v>3</v>
      </c>
      <c r="Q6" s="9">
        <f t="shared" si="1"/>
        <v>7</v>
      </c>
    </row>
    <row r="7" spans="1:17" ht="60" customHeight="1" x14ac:dyDescent="0.35">
      <c r="A7" s="3" t="s">
        <v>18</v>
      </c>
      <c r="B7" s="4">
        <v>5</v>
      </c>
      <c r="C7" s="5" t="s">
        <v>19</v>
      </c>
      <c r="D7" s="6" t="s">
        <v>45</v>
      </c>
      <c r="E7" s="5" t="s">
        <v>21</v>
      </c>
      <c r="F7" s="6" t="s">
        <v>46</v>
      </c>
      <c r="G7" s="5" t="s">
        <v>19</v>
      </c>
      <c r="H7" s="6" t="s">
        <v>47</v>
      </c>
      <c r="I7" s="5" t="s">
        <v>19</v>
      </c>
      <c r="J7" s="6" t="s">
        <v>48</v>
      </c>
      <c r="K7" s="5" t="s">
        <v>19</v>
      </c>
      <c r="L7" s="6" t="s">
        <v>49</v>
      </c>
      <c r="M7" s="5" t="s">
        <v>19</v>
      </c>
      <c r="N7" s="6" t="s">
        <v>50</v>
      </c>
      <c r="O7" s="8">
        <f t="shared" si="0"/>
        <v>4</v>
      </c>
      <c r="P7" s="9">
        <f>IF(M7="Yes",SUMPRODUCT(--ISNUMBER(SEARCH({"(1)";"(2)";"(3)";"(4)";"(5)";"(6)";"(7)";"(8)";"(9)"},N7))),0)</f>
        <v>4</v>
      </c>
      <c r="Q7" s="9">
        <f t="shared" si="1"/>
        <v>8</v>
      </c>
    </row>
    <row r="8" spans="1:17" ht="60" customHeight="1" x14ac:dyDescent="0.35">
      <c r="A8" s="3" t="s">
        <v>18</v>
      </c>
      <c r="B8" s="10">
        <v>6</v>
      </c>
      <c r="C8" s="11" t="s">
        <v>19</v>
      </c>
      <c r="D8" s="12" t="s">
        <v>162</v>
      </c>
      <c r="E8" s="11" t="s">
        <v>21</v>
      </c>
      <c r="F8" s="12" t="s">
        <v>163</v>
      </c>
      <c r="G8" s="11" t="s">
        <v>21</v>
      </c>
      <c r="H8" s="12" t="s">
        <v>164</v>
      </c>
      <c r="I8" s="11" t="s">
        <v>21</v>
      </c>
      <c r="J8" s="12" t="s">
        <v>165</v>
      </c>
      <c r="K8" s="11" t="s">
        <v>19</v>
      </c>
      <c r="L8" s="12" t="s">
        <v>166</v>
      </c>
      <c r="M8" s="11" t="s">
        <v>19</v>
      </c>
      <c r="N8" s="12" t="s">
        <v>167</v>
      </c>
      <c r="O8" s="8">
        <f t="shared" si="0"/>
        <v>2</v>
      </c>
      <c r="P8" s="9">
        <f>IF(M8="Yes",SUMPRODUCT(--ISNUMBER(SEARCH({"(1)";"(2)";"(3)";"(4)";"(5)";"(6)";"(7)";"(8)";"(9)"},N8))),0)</f>
        <v>5</v>
      </c>
      <c r="Q8" s="9">
        <f t="shared" si="1"/>
        <v>7</v>
      </c>
    </row>
    <row r="9" spans="1:17" ht="60" customHeight="1" x14ac:dyDescent="0.35">
      <c r="A9" s="3" t="s">
        <v>18</v>
      </c>
      <c r="B9" s="4">
        <v>7</v>
      </c>
      <c r="C9" s="5" t="s">
        <v>21</v>
      </c>
      <c r="D9" s="6" t="s">
        <v>168</v>
      </c>
      <c r="E9" s="5" t="s">
        <v>21</v>
      </c>
      <c r="F9" s="6" t="s">
        <v>169</v>
      </c>
      <c r="G9" s="5" t="s">
        <v>21</v>
      </c>
      <c r="H9" s="6" t="s">
        <v>170</v>
      </c>
      <c r="I9" s="5" t="s">
        <v>19</v>
      </c>
      <c r="J9" s="6" t="s">
        <v>171</v>
      </c>
      <c r="K9" s="5" t="s">
        <v>19</v>
      </c>
      <c r="L9" s="6" t="s">
        <v>172</v>
      </c>
      <c r="M9" s="5" t="s">
        <v>19</v>
      </c>
      <c r="N9" s="6" t="s">
        <v>173</v>
      </c>
      <c r="O9" s="8">
        <f t="shared" si="0"/>
        <v>2</v>
      </c>
      <c r="P9" s="9">
        <f>IF(M9="Yes",SUMPRODUCT(--ISNUMBER(SEARCH({"(1)";"(2)";"(3)";"(4)";"(5)";"(6)";"(7)";"(8)";"(9)"},N9))),0)</f>
        <v>5</v>
      </c>
      <c r="Q9" s="9">
        <f t="shared" si="1"/>
        <v>7</v>
      </c>
    </row>
    <row r="10" spans="1:17" ht="60" customHeight="1" x14ac:dyDescent="0.35">
      <c r="A10" s="3" t="s">
        <v>18</v>
      </c>
      <c r="B10" s="10">
        <v>8</v>
      </c>
      <c r="C10" s="11" t="s">
        <v>21</v>
      </c>
      <c r="D10" s="12" t="s">
        <v>174</v>
      </c>
      <c r="E10" s="11" t="s">
        <v>21</v>
      </c>
      <c r="F10" s="12" t="s">
        <v>175</v>
      </c>
      <c r="G10" s="11" t="s">
        <v>21</v>
      </c>
      <c r="H10" s="12" t="s">
        <v>176</v>
      </c>
      <c r="I10" s="11" t="s">
        <v>19</v>
      </c>
      <c r="J10" s="12" t="s">
        <v>177</v>
      </c>
      <c r="K10" s="11" t="s">
        <v>19</v>
      </c>
      <c r="L10" s="12" t="s">
        <v>178</v>
      </c>
      <c r="M10" s="11" t="s">
        <v>19</v>
      </c>
      <c r="N10" s="12" t="s">
        <v>179</v>
      </c>
      <c r="O10" s="8">
        <f t="shared" si="0"/>
        <v>2</v>
      </c>
      <c r="P10" s="9">
        <f>IF(M10="Yes",SUMPRODUCT(--ISNUMBER(SEARCH({"(1)";"(2)";"(3)";"(4)";"(5)";"(6)";"(7)";"(8)";"(9)"},N10))),0)</f>
        <v>4</v>
      </c>
      <c r="Q10" s="9">
        <f t="shared" si="1"/>
        <v>6</v>
      </c>
    </row>
    <row r="11" spans="1:17" ht="60" customHeight="1" x14ac:dyDescent="0.35">
      <c r="A11" s="3" t="s">
        <v>18</v>
      </c>
      <c r="B11" s="4">
        <v>9</v>
      </c>
      <c r="C11" s="5" t="s">
        <v>19</v>
      </c>
      <c r="D11" s="6" t="s">
        <v>180</v>
      </c>
      <c r="E11" s="5" t="s">
        <v>21</v>
      </c>
      <c r="F11" s="6" t="s">
        <v>181</v>
      </c>
      <c r="G11" s="5" t="s">
        <v>21</v>
      </c>
      <c r="H11" s="6" t="s">
        <v>182</v>
      </c>
      <c r="I11" s="5" t="s">
        <v>19</v>
      </c>
      <c r="J11" s="6" t="s">
        <v>183</v>
      </c>
      <c r="K11" s="5" t="s">
        <v>19</v>
      </c>
      <c r="L11" s="6" t="s">
        <v>184</v>
      </c>
      <c r="M11" s="5" t="s">
        <v>19</v>
      </c>
      <c r="N11" s="6" t="s">
        <v>185</v>
      </c>
      <c r="O11" s="8">
        <f t="shared" si="0"/>
        <v>3</v>
      </c>
      <c r="P11" s="9">
        <f>IF(M11="Yes",SUMPRODUCT(--ISNUMBER(SEARCH({"(1)";"(2)";"(3)";"(4)";"(5)";"(6)";"(7)";"(8)";"(9)"},N11))),0)</f>
        <v>4</v>
      </c>
      <c r="Q11" s="9">
        <f t="shared" si="1"/>
        <v>7</v>
      </c>
    </row>
    <row r="12" spans="1:17" ht="60" customHeight="1" x14ac:dyDescent="0.35">
      <c r="A12" s="3" t="s">
        <v>18</v>
      </c>
      <c r="B12" s="10">
        <v>10</v>
      </c>
      <c r="C12" s="11" t="s">
        <v>19</v>
      </c>
      <c r="D12" s="12" t="s">
        <v>186</v>
      </c>
      <c r="E12" s="11" t="s">
        <v>21</v>
      </c>
      <c r="F12" s="12" t="s">
        <v>187</v>
      </c>
      <c r="G12" s="11" t="s">
        <v>21</v>
      </c>
      <c r="H12" s="12" t="s">
        <v>188</v>
      </c>
      <c r="I12" s="11" t="s">
        <v>19</v>
      </c>
      <c r="J12" s="12" t="s">
        <v>189</v>
      </c>
      <c r="K12" s="11" t="s">
        <v>19</v>
      </c>
      <c r="L12" s="12" t="s">
        <v>190</v>
      </c>
      <c r="M12" s="11" t="s">
        <v>19</v>
      </c>
      <c r="N12" s="12" t="s">
        <v>191</v>
      </c>
      <c r="O12" s="8">
        <f t="shared" si="0"/>
        <v>3</v>
      </c>
      <c r="P12" s="9">
        <f>IF(M12="Yes",SUMPRODUCT(--ISNUMBER(SEARCH({"(1)";"(2)";"(3)";"(4)";"(5)";"(6)";"(7)";"(8)";"(9)"},N12))),0)</f>
        <v>5</v>
      </c>
      <c r="Q12" s="9">
        <f t="shared" si="1"/>
        <v>8</v>
      </c>
    </row>
    <row r="13" spans="1:17" ht="60" customHeight="1" x14ac:dyDescent="0.35">
      <c r="A13" s="3" t="s">
        <v>18</v>
      </c>
      <c r="B13" s="4">
        <v>11</v>
      </c>
      <c r="C13" s="5" t="s">
        <v>19</v>
      </c>
      <c r="D13" s="6" t="s">
        <v>192</v>
      </c>
      <c r="E13" s="5" t="s">
        <v>21</v>
      </c>
      <c r="F13" s="6" t="s">
        <v>193</v>
      </c>
      <c r="G13" s="5" t="s">
        <v>21</v>
      </c>
      <c r="H13" s="6" t="s">
        <v>194</v>
      </c>
      <c r="I13" s="5" t="s">
        <v>19</v>
      </c>
      <c r="J13" s="6" t="s">
        <v>195</v>
      </c>
      <c r="K13" s="5" t="s">
        <v>19</v>
      </c>
      <c r="L13" s="6" t="s">
        <v>196</v>
      </c>
      <c r="M13" s="5" t="s">
        <v>19</v>
      </c>
      <c r="N13" s="6" t="s">
        <v>197</v>
      </c>
      <c r="O13" s="8">
        <f t="shared" si="0"/>
        <v>3</v>
      </c>
      <c r="P13" s="9">
        <f>IF(M13="Yes",SUMPRODUCT(--ISNUMBER(SEARCH({"(1)";"(2)";"(3)";"(4)";"(5)";"(6)";"(7)";"(8)";"(9)"},N13))),0)</f>
        <v>5</v>
      </c>
      <c r="Q13" s="9">
        <f t="shared" si="1"/>
        <v>8</v>
      </c>
    </row>
    <row r="14" spans="1:17" ht="60" customHeight="1" x14ac:dyDescent="0.35">
      <c r="A14" s="3" t="s">
        <v>18</v>
      </c>
      <c r="B14" s="10">
        <v>12</v>
      </c>
      <c r="C14" s="11" t="s">
        <v>19</v>
      </c>
      <c r="D14" s="12" t="s">
        <v>198</v>
      </c>
      <c r="E14" s="11" t="s">
        <v>21</v>
      </c>
      <c r="F14" s="12" t="s">
        <v>199</v>
      </c>
      <c r="G14" s="11" t="s">
        <v>19</v>
      </c>
      <c r="H14" s="12" t="s">
        <v>200</v>
      </c>
      <c r="I14" s="11" t="s">
        <v>19</v>
      </c>
      <c r="J14" s="12" t="s">
        <v>201</v>
      </c>
      <c r="K14" s="11" t="s">
        <v>19</v>
      </c>
      <c r="L14" s="12" t="s">
        <v>202</v>
      </c>
      <c r="M14" s="11" t="s">
        <v>19</v>
      </c>
      <c r="N14" s="12" t="s">
        <v>203</v>
      </c>
      <c r="O14" s="8">
        <f t="shared" si="0"/>
        <v>4</v>
      </c>
      <c r="P14" s="9">
        <f>IF(M14="Yes",SUMPRODUCT(--ISNUMBER(SEARCH({"(1)";"(2)";"(3)";"(4)";"(5)";"(6)";"(7)";"(8)";"(9)"},N14))),0)</f>
        <v>4</v>
      </c>
      <c r="Q14" s="9">
        <f t="shared" si="1"/>
        <v>8</v>
      </c>
    </row>
    <row r="15" spans="1:17" ht="60" customHeight="1" x14ac:dyDescent="0.35">
      <c r="A15" s="3" t="s">
        <v>18</v>
      </c>
      <c r="B15" s="4">
        <v>13</v>
      </c>
      <c r="C15" s="5" t="s">
        <v>21</v>
      </c>
      <c r="D15" s="6" t="s">
        <v>204</v>
      </c>
      <c r="E15" s="5" t="s">
        <v>21</v>
      </c>
      <c r="F15" s="6" t="s">
        <v>205</v>
      </c>
      <c r="G15" s="5" t="s">
        <v>21</v>
      </c>
      <c r="H15" s="6" t="s">
        <v>206</v>
      </c>
      <c r="I15" s="5" t="s">
        <v>21</v>
      </c>
      <c r="J15" s="6" t="s">
        <v>207</v>
      </c>
      <c r="K15" s="5" t="s">
        <v>19</v>
      </c>
      <c r="L15" s="6" t="s">
        <v>208</v>
      </c>
      <c r="M15" s="5" t="s">
        <v>19</v>
      </c>
      <c r="N15" s="6" t="s">
        <v>209</v>
      </c>
      <c r="O15" s="8">
        <f t="shared" si="0"/>
        <v>1</v>
      </c>
      <c r="P15" s="9">
        <f>IF(M15="Yes",SUMPRODUCT(--ISNUMBER(SEARCH({"(1)";"(2)";"(3)";"(4)";"(5)";"(6)";"(7)";"(8)";"(9)"},N15))),0)</f>
        <v>4</v>
      </c>
      <c r="Q15" s="9">
        <f t="shared" si="1"/>
        <v>5</v>
      </c>
    </row>
    <row r="16" spans="1:17" ht="60" customHeight="1" x14ac:dyDescent="0.35">
      <c r="A16" s="3" t="s">
        <v>18</v>
      </c>
      <c r="B16" s="10">
        <v>14</v>
      </c>
      <c r="C16" s="11" t="s">
        <v>19</v>
      </c>
      <c r="D16" s="12" t="s">
        <v>210</v>
      </c>
      <c r="E16" s="11" t="s">
        <v>21</v>
      </c>
      <c r="F16" s="12" t="s">
        <v>211</v>
      </c>
      <c r="G16" s="11" t="s">
        <v>21</v>
      </c>
      <c r="H16" s="12" t="s">
        <v>212</v>
      </c>
      <c r="I16" s="11" t="s">
        <v>19</v>
      </c>
      <c r="J16" s="12" t="s">
        <v>213</v>
      </c>
      <c r="K16" s="11" t="s">
        <v>19</v>
      </c>
      <c r="L16" s="12" t="s">
        <v>214</v>
      </c>
      <c r="M16" s="11" t="s">
        <v>19</v>
      </c>
      <c r="N16" s="12" t="s">
        <v>215</v>
      </c>
      <c r="O16" s="8">
        <f t="shared" si="0"/>
        <v>3</v>
      </c>
      <c r="P16" s="9">
        <f>IF(M16="Yes",SUMPRODUCT(--ISNUMBER(SEARCH({"(1)";"(2)";"(3)";"(4)";"(5)";"(6)";"(7)";"(8)";"(9)"},N16))),0)</f>
        <v>5</v>
      </c>
      <c r="Q16" s="9">
        <f t="shared" si="1"/>
        <v>8</v>
      </c>
    </row>
    <row r="17" spans="1:17" ht="60" customHeight="1" x14ac:dyDescent="0.35">
      <c r="A17" s="3" t="s">
        <v>18</v>
      </c>
      <c r="B17" s="4">
        <v>15</v>
      </c>
      <c r="C17" s="5" t="s">
        <v>19</v>
      </c>
      <c r="D17" s="6" t="s">
        <v>216</v>
      </c>
      <c r="E17" s="5" t="s">
        <v>21</v>
      </c>
      <c r="F17" s="6" t="s">
        <v>217</v>
      </c>
      <c r="G17" s="5" t="s">
        <v>21</v>
      </c>
      <c r="H17" s="6" t="s">
        <v>218</v>
      </c>
      <c r="I17" s="5" t="s">
        <v>19</v>
      </c>
      <c r="J17" s="6" t="s">
        <v>219</v>
      </c>
      <c r="K17" s="5" t="s">
        <v>19</v>
      </c>
      <c r="L17" s="6" t="s">
        <v>220</v>
      </c>
      <c r="M17" s="5" t="s">
        <v>19</v>
      </c>
      <c r="N17" s="6" t="s">
        <v>221</v>
      </c>
      <c r="O17" s="8">
        <f t="shared" si="0"/>
        <v>3</v>
      </c>
      <c r="P17" s="9">
        <f>IF(M17="Yes",SUMPRODUCT(--ISNUMBER(SEARCH({"(1)";"(2)";"(3)";"(4)";"(5)";"(6)";"(7)";"(8)";"(9)"},N17))),0)</f>
        <v>2</v>
      </c>
      <c r="Q17" s="9">
        <f t="shared" si="1"/>
        <v>5</v>
      </c>
    </row>
    <row r="18" spans="1:17" ht="60" customHeight="1" x14ac:dyDescent="0.35">
      <c r="A18" s="3" t="s">
        <v>18</v>
      </c>
      <c r="B18" s="10">
        <v>16</v>
      </c>
      <c r="C18" s="11" t="s">
        <v>19</v>
      </c>
      <c r="D18" s="12" t="s">
        <v>222</v>
      </c>
      <c r="E18" s="11" t="s">
        <v>21</v>
      </c>
      <c r="F18" s="12" t="s">
        <v>223</v>
      </c>
      <c r="G18" s="11" t="s">
        <v>21</v>
      </c>
      <c r="H18" s="12" t="s">
        <v>224</v>
      </c>
      <c r="I18" s="11" t="s">
        <v>19</v>
      </c>
      <c r="J18" s="12" t="s">
        <v>225</v>
      </c>
      <c r="K18" s="11" t="s">
        <v>19</v>
      </c>
      <c r="L18" s="12" t="s">
        <v>226</v>
      </c>
      <c r="M18" s="11" t="s">
        <v>19</v>
      </c>
      <c r="N18" s="12" t="s">
        <v>227</v>
      </c>
      <c r="O18" s="8">
        <f t="shared" si="0"/>
        <v>3</v>
      </c>
      <c r="P18" s="9">
        <f>IF(M18="Yes",SUMPRODUCT(--ISNUMBER(SEARCH({"(1)";"(2)";"(3)";"(4)";"(5)";"(6)";"(7)";"(8)";"(9)"},N18))),0)</f>
        <v>4</v>
      </c>
      <c r="Q18" s="9">
        <f t="shared" si="1"/>
        <v>7</v>
      </c>
    </row>
    <row r="19" spans="1:17" ht="60" customHeight="1" x14ac:dyDescent="0.35">
      <c r="A19" s="3" t="s">
        <v>18</v>
      </c>
      <c r="B19" s="4">
        <v>17</v>
      </c>
      <c r="C19" s="5" t="s">
        <v>19</v>
      </c>
      <c r="D19" s="6" t="s">
        <v>228</v>
      </c>
      <c r="E19" s="5" t="s">
        <v>21</v>
      </c>
      <c r="F19" s="6" t="s">
        <v>229</v>
      </c>
      <c r="G19" s="5" t="s">
        <v>21</v>
      </c>
      <c r="H19" s="6" t="s">
        <v>230</v>
      </c>
      <c r="I19" s="5" t="s">
        <v>19</v>
      </c>
      <c r="J19" s="6" t="s">
        <v>231</v>
      </c>
      <c r="K19" s="5" t="s">
        <v>19</v>
      </c>
      <c r="L19" s="6" t="s">
        <v>232</v>
      </c>
      <c r="M19" s="5" t="s">
        <v>19</v>
      </c>
      <c r="N19" s="6" t="s">
        <v>233</v>
      </c>
      <c r="O19" s="8">
        <f t="shared" si="0"/>
        <v>3</v>
      </c>
      <c r="P19" s="9">
        <f>IF(M19="Yes",SUMPRODUCT(--ISNUMBER(SEARCH({"(1)";"(2)";"(3)";"(4)";"(5)";"(6)";"(7)";"(8)";"(9)"},N19))),0)</f>
        <v>3</v>
      </c>
      <c r="Q19" s="9">
        <f t="shared" si="1"/>
        <v>6</v>
      </c>
    </row>
    <row r="20" spans="1:17" ht="60" customHeight="1" x14ac:dyDescent="0.35">
      <c r="A20" s="3" t="s">
        <v>18</v>
      </c>
      <c r="B20" s="10">
        <v>18</v>
      </c>
      <c r="C20" s="11" t="s">
        <v>19</v>
      </c>
      <c r="D20" s="12" t="s">
        <v>234</v>
      </c>
      <c r="E20" s="11" t="s">
        <v>21</v>
      </c>
      <c r="F20" s="12" t="s">
        <v>235</v>
      </c>
      <c r="G20" s="11" t="s">
        <v>19</v>
      </c>
      <c r="H20" s="12" t="s">
        <v>236</v>
      </c>
      <c r="I20" s="11" t="s">
        <v>19</v>
      </c>
      <c r="J20" s="12" t="s">
        <v>237</v>
      </c>
      <c r="K20" s="11" t="s">
        <v>19</v>
      </c>
      <c r="L20" s="12" t="s">
        <v>238</v>
      </c>
      <c r="M20" s="11" t="s">
        <v>19</v>
      </c>
      <c r="N20" s="12" t="s">
        <v>239</v>
      </c>
      <c r="O20" s="8">
        <f t="shared" si="0"/>
        <v>4</v>
      </c>
      <c r="P20" s="9">
        <f>IF(M20="Yes",SUMPRODUCT(--ISNUMBER(SEARCH({"(1)";"(2)";"(3)";"(4)";"(5)";"(6)";"(7)";"(8)";"(9)"},N20))),0)</f>
        <v>3</v>
      </c>
      <c r="Q20" s="9">
        <f t="shared" si="1"/>
        <v>7</v>
      </c>
    </row>
    <row r="21" spans="1:17" ht="60" customHeight="1" x14ac:dyDescent="0.35">
      <c r="A21" s="3" t="s">
        <v>18</v>
      </c>
      <c r="B21" s="4">
        <v>19</v>
      </c>
      <c r="C21" s="5" t="s">
        <v>21</v>
      </c>
      <c r="D21" s="6" t="s">
        <v>240</v>
      </c>
      <c r="E21" s="5" t="s">
        <v>21</v>
      </c>
      <c r="F21" s="6" t="s">
        <v>241</v>
      </c>
      <c r="G21" s="5" t="s">
        <v>19</v>
      </c>
      <c r="H21" s="6" t="s">
        <v>242</v>
      </c>
      <c r="I21" s="5" t="s">
        <v>19</v>
      </c>
      <c r="J21" s="6" t="s">
        <v>243</v>
      </c>
      <c r="K21" s="5" t="s">
        <v>19</v>
      </c>
      <c r="L21" s="6" t="s">
        <v>244</v>
      </c>
      <c r="M21" s="5" t="s">
        <v>19</v>
      </c>
      <c r="N21" s="6" t="s">
        <v>245</v>
      </c>
      <c r="O21" s="8">
        <f t="shared" si="0"/>
        <v>3</v>
      </c>
      <c r="P21" s="9">
        <f>IF(M21="Yes",SUMPRODUCT(--ISNUMBER(SEARCH({"(1)";"(2)";"(3)";"(4)";"(5)";"(6)";"(7)";"(8)";"(9)"},N21))),0)</f>
        <v>3</v>
      </c>
      <c r="Q21" s="9">
        <f t="shared" si="1"/>
        <v>6</v>
      </c>
    </row>
    <row r="22" spans="1:17" ht="60" customHeight="1" x14ac:dyDescent="0.35">
      <c r="A22" s="3" t="s">
        <v>18</v>
      </c>
      <c r="B22" s="10">
        <v>20</v>
      </c>
      <c r="C22" s="11" t="s">
        <v>19</v>
      </c>
      <c r="D22" s="12" t="s">
        <v>246</v>
      </c>
      <c r="E22" s="11" t="s">
        <v>21</v>
      </c>
      <c r="F22" s="12" t="s">
        <v>247</v>
      </c>
      <c r="G22" s="11" t="s">
        <v>21</v>
      </c>
      <c r="H22" s="12" t="s">
        <v>248</v>
      </c>
      <c r="I22" s="11" t="s">
        <v>19</v>
      </c>
      <c r="J22" s="12" t="s">
        <v>249</v>
      </c>
      <c r="K22" s="11" t="s">
        <v>19</v>
      </c>
      <c r="L22" s="12" t="s">
        <v>250</v>
      </c>
      <c r="M22" s="11" t="s">
        <v>19</v>
      </c>
      <c r="N22" s="12" t="s">
        <v>251</v>
      </c>
      <c r="O22" s="8">
        <f t="shared" si="0"/>
        <v>3</v>
      </c>
      <c r="P22" s="9">
        <f>IF(M22="Yes",SUMPRODUCT(--ISNUMBER(SEARCH({"(1)";"(2)";"(3)";"(4)";"(5)";"(6)";"(7)";"(8)";"(9)"},N22))),0)</f>
        <v>3</v>
      </c>
      <c r="Q22" s="9">
        <f t="shared" si="1"/>
        <v>6</v>
      </c>
    </row>
    <row r="23" spans="1:17" ht="60" customHeight="1" x14ac:dyDescent="0.35">
      <c r="A23" s="3" t="s">
        <v>18</v>
      </c>
      <c r="B23" s="4">
        <v>21</v>
      </c>
      <c r="C23" s="5" t="s">
        <v>19</v>
      </c>
      <c r="D23" s="6" t="s">
        <v>372</v>
      </c>
      <c r="E23" s="5" t="s">
        <v>21</v>
      </c>
      <c r="F23" s="6" t="s">
        <v>373</v>
      </c>
      <c r="G23" s="5" t="s">
        <v>19</v>
      </c>
      <c r="H23" s="6" t="s">
        <v>374</v>
      </c>
      <c r="I23" s="5" t="s">
        <v>19</v>
      </c>
      <c r="J23" s="6" t="s">
        <v>375</v>
      </c>
      <c r="K23" s="5" t="s">
        <v>19</v>
      </c>
      <c r="L23" s="6" t="s">
        <v>376</v>
      </c>
      <c r="M23" s="5" t="s">
        <v>19</v>
      </c>
      <c r="N23" s="6" t="s">
        <v>377</v>
      </c>
      <c r="O23" s="8">
        <f t="shared" si="0"/>
        <v>4</v>
      </c>
      <c r="P23" s="9">
        <f>IF(M23="Yes",SUMPRODUCT(--ISNUMBER(SEARCH({"(1)";"(2)";"(3)";"(4)";"(5)";"(6)";"(7)";"(8)";"(9)"},N23))),0)</f>
        <v>5</v>
      </c>
      <c r="Q23" s="9">
        <f t="shared" si="1"/>
        <v>9</v>
      </c>
    </row>
    <row r="24" spans="1:17" ht="60" customHeight="1" x14ac:dyDescent="0.35">
      <c r="A24" s="3" t="s">
        <v>18</v>
      </c>
      <c r="B24" s="10">
        <v>22</v>
      </c>
      <c r="C24" s="11" t="s">
        <v>21</v>
      </c>
      <c r="D24" s="12" t="s">
        <v>378</v>
      </c>
      <c r="E24" s="11" t="s">
        <v>21</v>
      </c>
      <c r="F24" s="12" t="s">
        <v>379</v>
      </c>
      <c r="G24" s="11" t="s">
        <v>21</v>
      </c>
      <c r="H24" s="12" t="s">
        <v>380</v>
      </c>
      <c r="I24" s="11" t="s">
        <v>21</v>
      </c>
      <c r="J24" s="12" t="s">
        <v>381</v>
      </c>
      <c r="K24" s="11" t="s">
        <v>19</v>
      </c>
      <c r="L24" s="12" t="s">
        <v>382</v>
      </c>
      <c r="M24" s="11" t="s">
        <v>19</v>
      </c>
      <c r="N24" s="12" t="s">
        <v>383</v>
      </c>
      <c r="O24" s="8">
        <f t="shared" si="0"/>
        <v>1</v>
      </c>
      <c r="P24" s="9">
        <f>IF(M24="Yes",SUMPRODUCT(--ISNUMBER(SEARCH({"(1)";"(2)";"(3)";"(4)";"(5)";"(6)";"(7)";"(8)";"(9)"},N24))),0)</f>
        <v>4</v>
      </c>
      <c r="Q24" s="9">
        <f t="shared" si="1"/>
        <v>5</v>
      </c>
    </row>
    <row r="25" spans="1:17" ht="60" customHeight="1" x14ac:dyDescent="0.35">
      <c r="A25" s="3" t="s">
        <v>18</v>
      </c>
      <c r="B25" s="4">
        <v>23</v>
      </c>
      <c r="C25" s="5" t="s">
        <v>21</v>
      </c>
      <c r="D25" s="6" t="s">
        <v>384</v>
      </c>
      <c r="E25" s="5" t="s">
        <v>21</v>
      </c>
      <c r="F25" s="6" t="s">
        <v>385</v>
      </c>
      <c r="G25" s="5" t="s">
        <v>21</v>
      </c>
      <c r="H25" s="6" t="s">
        <v>386</v>
      </c>
      <c r="I25" s="5" t="s">
        <v>21</v>
      </c>
      <c r="J25" s="6" t="s">
        <v>387</v>
      </c>
      <c r="K25" s="5" t="s">
        <v>19</v>
      </c>
      <c r="L25" s="6" t="s">
        <v>388</v>
      </c>
      <c r="M25" s="5" t="s">
        <v>19</v>
      </c>
      <c r="N25" s="6" t="s">
        <v>389</v>
      </c>
      <c r="O25" s="8">
        <f t="shared" si="0"/>
        <v>1</v>
      </c>
      <c r="P25" s="9">
        <f>IF(M25="Yes",SUMPRODUCT(--ISNUMBER(SEARCH({"(1)";"(2)";"(3)";"(4)";"(5)";"(6)";"(7)";"(8)";"(9)"},N25))),0)</f>
        <v>3</v>
      </c>
      <c r="Q25" s="9">
        <f t="shared" si="1"/>
        <v>4</v>
      </c>
    </row>
    <row r="26" spans="1:17" ht="60" customHeight="1" x14ac:dyDescent="0.35">
      <c r="A26" s="3" t="s">
        <v>18</v>
      </c>
      <c r="B26" s="10">
        <v>24</v>
      </c>
      <c r="C26" s="11" t="s">
        <v>19</v>
      </c>
      <c r="D26" s="12" t="s">
        <v>390</v>
      </c>
      <c r="E26" s="11" t="s">
        <v>21</v>
      </c>
      <c r="F26" s="12" t="s">
        <v>391</v>
      </c>
      <c r="G26" s="11" t="s">
        <v>21</v>
      </c>
      <c r="H26" s="12" t="s">
        <v>392</v>
      </c>
      <c r="I26" s="11" t="s">
        <v>19</v>
      </c>
      <c r="J26" s="12" t="s">
        <v>393</v>
      </c>
      <c r="K26" s="11" t="s">
        <v>19</v>
      </c>
      <c r="L26" s="12" t="s">
        <v>394</v>
      </c>
      <c r="M26" s="11" t="s">
        <v>19</v>
      </c>
      <c r="N26" s="12" t="s">
        <v>395</v>
      </c>
      <c r="O26" s="8">
        <f t="shared" si="0"/>
        <v>3</v>
      </c>
      <c r="P26" s="9">
        <f>IF(M26="Yes",SUMPRODUCT(--ISNUMBER(SEARCH({"(1)";"(2)";"(3)";"(4)";"(5)";"(6)";"(7)";"(8)";"(9)"},N26))),0)</f>
        <v>6</v>
      </c>
      <c r="Q26" s="9">
        <f t="shared" si="1"/>
        <v>9</v>
      </c>
    </row>
    <row r="27" spans="1:17" ht="60" customHeight="1" x14ac:dyDescent="0.35">
      <c r="A27" s="3" t="s">
        <v>18</v>
      </c>
      <c r="B27" s="4">
        <v>25</v>
      </c>
      <c r="C27" s="5" t="s">
        <v>19</v>
      </c>
      <c r="D27" s="6" t="s">
        <v>396</v>
      </c>
      <c r="E27" s="5" t="s">
        <v>21</v>
      </c>
      <c r="F27" s="6" t="s">
        <v>397</v>
      </c>
      <c r="G27" s="5" t="s">
        <v>19</v>
      </c>
      <c r="H27" s="6" t="s">
        <v>398</v>
      </c>
      <c r="I27" s="5" t="s">
        <v>19</v>
      </c>
      <c r="J27" s="6" t="s">
        <v>399</v>
      </c>
      <c r="K27" s="5" t="s">
        <v>19</v>
      </c>
      <c r="L27" s="6" t="s">
        <v>400</v>
      </c>
      <c r="M27" s="5" t="s">
        <v>19</v>
      </c>
      <c r="N27" s="6" t="s">
        <v>401</v>
      </c>
      <c r="O27" s="8">
        <f t="shared" si="0"/>
        <v>4</v>
      </c>
      <c r="P27" s="9">
        <f>IF(M27="Yes",SUMPRODUCT(--ISNUMBER(SEARCH({"(1)";"(2)";"(3)";"(4)";"(5)";"(6)";"(7)";"(8)";"(9)"},N27))),0)</f>
        <v>5</v>
      </c>
      <c r="Q27" s="9">
        <f t="shared" si="1"/>
        <v>9</v>
      </c>
    </row>
    <row r="28" spans="1:17" ht="60" customHeight="1" x14ac:dyDescent="0.35">
      <c r="A28" s="3" t="s">
        <v>18</v>
      </c>
      <c r="B28" s="10">
        <v>26</v>
      </c>
      <c r="C28" s="11" t="s">
        <v>19</v>
      </c>
      <c r="D28" s="12" t="s">
        <v>540</v>
      </c>
      <c r="E28" s="11" t="s">
        <v>21</v>
      </c>
      <c r="F28" s="12" t="s">
        <v>541</v>
      </c>
      <c r="G28" s="11" t="s">
        <v>21</v>
      </c>
      <c r="H28" s="12" t="s">
        <v>542</v>
      </c>
      <c r="I28" s="11" t="s">
        <v>19</v>
      </c>
      <c r="J28" s="12" t="s">
        <v>543</v>
      </c>
      <c r="K28" s="11" t="s">
        <v>19</v>
      </c>
      <c r="L28" s="12" t="s">
        <v>544</v>
      </c>
      <c r="M28" s="11" t="s">
        <v>19</v>
      </c>
      <c r="N28" s="12" t="s">
        <v>545</v>
      </c>
      <c r="O28" s="8">
        <f t="shared" si="0"/>
        <v>3</v>
      </c>
      <c r="P28" s="9">
        <f>IF(M28="Yes",SUMPRODUCT(--ISNUMBER(SEARCH({"(1)";"(2)";"(3)";"(4)";"(5)";"(6)";"(7)";"(8)";"(9)"},N28))),0)</f>
        <v>3</v>
      </c>
      <c r="Q28" s="9">
        <f t="shared" si="1"/>
        <v>6</v>
      </c>
    </row>
    <row r="29" spans="1:17" ht="60" customHeight="1" x14ac:dyDescent="0.35">
      <c r="A29" s="3" t="s">
        <v>18</v>
      </c>
      <c r="B29" s="4">
        <v>27</v>
      </c>
      <c r="C29" s="5" t="s">
        <v>19</v>
      </c>
      <c r="D29" s="6" t="s">
        <v>546</v>
      </c>
      <c r="E29" s="5" t="s">
        <v>21</v>
      </c>
      <c r="F29" s="6" t="s">
        <v>547</v>
      </c>
      <c r="G29" s="5" t="s">
        <v>21</v>
      </c>
      <c r="H29" s="6" t="s">
        <v>548</v>
      </c>
      <c r="I29" s="5" t="s">
        <v>19</v>
      </c>
      <c r="J29" s="6" t="s">
        <v>549</v>
      </c>
      <c r="K29" s="5" t="s">
        <v>19</v>
      </c>
      <c r="L29" s="6" t="s">
        <v>550</v>
      </c>
      <c r="M29" s="5" t="s">
        <v>19</v>
      </c>
      <c r="N29" s="6" t="s">
        <v>551</v>
      </c>
      <c r="O29" s="8">
        <f t="shared" si="0"/>
        <v>3</v>
      </c>
      <c r="P29" s="9">
        <f>IF(M29="Yes",SUMPRODUCT(--ISNUMBER(SEARCH({"(1)";"(2)";"(3)";"(4)";"(5)";"(6)";"(7)";"(8)";"(9)"},N29))),0)</f>
        <v>3</v>
      </c>
      <c r="Q29" s="9">
        <f t="shared" si="1"/>
        <v>6</v>
      </c>
    </row>
    <row r="30" spans="1:17" ht="60" customHeight="1" x14ac:dyDescent="0.35">
      <c r="A30" s="3" t="s">
        <v>18</v>
      </c>
      <c r="B30" s="10">
        <v>28</v>
      </c>
      <c r="C30" s="11" t="s">
        <v>19</v>
      </c>
      <c r="D30" s="12" t="s">
        <v>552</v>
      </c>
      <c r="E30" s="11" t="s">
        <v>19</v>
      </c>
      <c r="F30" s="12" t="s">
        <v>553</v>
      </c>
      <c r="G30" s="11" t="s">
        <v>21</v>
      </c>
      <c r="H30" s="12" t="s">
        <v>554</v>
      </c>
      <c r="I30" s="11" t="s">
        <v>19</v>
      </c>
      <c r="J30" s="12" t="s">
        <v>555</v>
      </c>
      <c r="K30" s="11" t="s">
        <v>19</v>
      </c>
      <c r="L30" s="12" t="s">
        <v>556</v>
      </c>
      <c r="M30" s="11" t="s">
        <v>19</v>
      </c>
      <c r="N30" s="12" t="s">
        <v>557</v>
      </c>
      <c r="O30" s="8">
        <f t="shared" si="0"/>
        <v>4</v>
      </c>
      <c r="P30" s="9">
        <f>IF(M30="Yes",SUMPRODUCT(--ISNUMBER(SEARCH({"(1)";"(2)";"(3)";"(4)";"(5)";"(6)";"(7)";"(8)";"(9)"},N30))),0)</f>
        <v>3</v>
      </c>
      <c r="Q30" s="9">
        <f t="shared" si="1"/>
        <v>7</v>
      </c>
    </row>
    <row r="31" spans="1:17" ht="60" customHeight="1" x14ac:dyDescent="0.35">
      <c r="A31" s="3" t="s">
        <v>18</v>
      </c>
      <c r="B31" s="4">
        <v>29</v>
      </c>
      <c r="C31" s="5" t="s">
        <v>21</v>
      </c>
      <c r="D31" s="6" t="s">
        <v>558</v>
      </c>
      <c r="E31" s="5" t="s">
        <v>21</v>
      </c>
      <c r="F31" s="6" t="s">
        <v>559</v>
      </c>
      <c r="G31" s="5" t="s">
        <v>19</v>
      </c>
      <c r="H31" s="6" t="s">
        <v>560</v>
      </c>
      <c r="I31" s="5" t="s">
        <v>19</v>
      </c>
      <c r="J31" s="6" t="s">
        <v>561</v>
      </c>
      <c r="K31" s="5" t="s">
        <v>19</v>
      </c>
      <c r="L31" s="6" t="s">
        <v>562</v>
      </c>
      <c r="M31" s="5" t="s">
        <v>19</v>
      </c>
      <c r="N31" s="6" t="s">
        <v>563</v>
      </c>
      <c r="O31" s="8">
        <f t="shared" si="0"/>
        <v>3</v>
      </c>
      <c r="P31" s="9">
        <f>IF(M31="Yes",SUMPRODUCT(--ISNUMBER(SEARCH({"(1)";"(2)";"(3)";"(4)";"(5)";"(6)";"(7)";"(8)";"(9)"},N31))),0)</f>
        <v>4</v>
      </c>
      <c r="Q31" s="9">
        <f t="shared" si="1"/>
        <v>7</v>
      </c>
    </row>
    <row r="32" spans="1:17" ht="60" customHeight="1" x14ac:dyDescent="0.35">
      <c r="A32" s="3" t="s">
        <v>18</v>
      </c>
      <c r="B32" s="10">
        <v>30</v>
      </c>
      <c r="C32" s="11" t="s">
        <v>19</v>
      </c>
      <c r="D32" s="12" t="s">
        <v>564</v>
      </c>
      <c r="E32" s="11" t="s">
        <v>21</v>
      </c>
      <c r="F32" s="12" t="s">
        <v>565</v>
      </c>
      <c r="G32" s="11" t="s">
        <v>21</v>
      </c>
      <c r="H32" s="12" t="s">
        <v>566</v>
      </c>
      <c r="I32" s="11" t="s">
        <v>19</v>
      </c>
      <c r="J32" s="12" t="s">
        <v>567</v>
      </c>
      <c r="K32" s="11" t="s">
        <v>19</v>
      </c>
      <c r="L32" s="12" t="s">
        <v>568</v>
      </c>
      <c r="M32" s="11" t="s">
        <v>19</v>
      </c>
      <c r="N32" s="12" t="s">
        <v>569</v>
      </c>
      <c r="O32" s="8">
        <f t="shared" si="0"/>
        <v>3</v>
      </c>
      <c r="P32" s="9">
        <f>IF(M32="Yes",SUMPRODUCT(--ISNUMBER(SEARCH({"(1)";"(2)";"(3)";"(4)";"(5)";"(6)";"(7)";"(8)";"(9)"},N32))),0)</f>
        <v>3</v>
      </c>
      <c r="Q32" s="9">
        <f t="shared" si="1"/>
        <v>6</v>
      </c>
    </row>
    <row r="33" spans="1:17" ht="60" customHeight="1" x14ac:dyDescent="0.35">
      <c r="A33" s="14" t="s">
        <v>51</v>
      </c>
      <c r="B33" s="4">
        <v>1</v>
      </c>
      <c r="C33" s="5" t="s">
        <v>21</v>
      </c>
      <c r="D33" s="6" t="s">
        <v>52</v>
      </c>
      <c r="E33" s="5" t="s">
        <v>21</v>
      </c>
      <c r="F33" s="6" t="s">
        <v>53</v>
      </c>
      <c r="G33" s="5" t="s">
        <v>21</v>
      </c>
      <c r="H33" s="6" t="s">
        <v>54</v>
      </c>
      <c r="I33" s="5" t="s">
        <v>21</v>
      </c>
      <c r="J33" s="6" t="s">
        <v>55</v>
      </c>
      <c r="K33" s="5" t="s">
        <v>19</v>
      </c>
      <c r="L33" s="6" t="s">
        <v>56</v>
      </c>
      <c r="M33" s="5" t="s">
        <v>19</v>
      </c>
      <c r="N33" s="15" t="s">
        <v>57</v>
      </c>
      <c r="O33" s="8">
        <f t="shared" si="0"/>
        <v>1</v>
      </c>
      <c r="P33" s="9">
        <f>IF(M33="Yes",SUMPRODUCT(--ISNUMBER(SEARCH({"(1)";"(2)";"(3)";"(4)";"(5)";"(6)";"(7)";"(8)";"(9)"},N33))),0)</f>
        <v>3</v>
      </c>
      <c r="Q33" s="9">
        <f t="shared" si="1"/>
        <v>4</v>
      </c>
    </row>
    <row r="34" spans="1:17" ht="60" customHeight="1" x14ac:dyDescent="0.35">
      <c r="A34" s="14" t="s">
        <v>51</v>
      </c>
      <c r="B34" s="10">
        <v>2</v>
      </c>
      <c r="C34" s="11" t="s">
        <v>19</v>
      </c>
      <c r="D34" s="12" t="s">
        <v>108</v>
      </c>
      <c r="E34" s="11" t="s">
        <v>21</v>
      </c>
      <c r="F34" s="12" t="s">
        <v>109</v>
      </c>
      <c r="G34" s="11" t="s">
        <v>21</v>
      </c>
      <c r="H34" s="12" t="s">
        <v>110</v>
      </c>
      <c r="I34" s="11" t="s">
        <v>19</v>
      </c>
      <c r="J34" s="12" t="s">
        <v>111</v>
      </c>
      <c r="K34" s="11" t="s">
        <v>19</v>
      </c>
      <c r="L34" s="12" t="s">
        <v>112</v>
      </c>
      <c r="M34" s="11" t="s">
        <v>19</v>
      </c>
      <c r="N34" s="13" t="s">
        <v>113</v>
      </c>
      <c r="O34" s="8">
        <f t="shared" si="0"/>
        <v>3</v>
      </c>
      <c r="P34" s="9">
        <f>IF(M34="Yes",SUMPRODUCT(--ISNUMBER(SEARCH({"(1)";"(2)";"(3)";"(4)";"(5)";"(6)";"(7)";"(8)";"(9)"},N34))),0)</f>
        <v>4</v>
      </c>
      <c r="Q34" s="9">
        <f t="shared" si="1"/>
        <v>7</v>
      </c>
    </row>
    <row r="35" spans="1:17" ht="60" customHeight="1" x14ac:dyDescent="0.35">
      <c r="A35" s="14" t="s">
        <v>51</v>
      </c>
      <c r="B35" s="4">
        <v>3</v>
      </c>
      <c r="C35" s="5" t="s">
        <v>19</v>
      </c>
      <c r="D35" s="6" t="s">
        <v>114</v>
      </c>
      <c r="E35" s="5" t="s">
        <v>19</v>
      </c>
      <c r="F35" s="6" t="s">
        <v>115</v>
      </c>
      <c r="G35" s="5" t="s">
        <v>21</v>
      </c>
      <c r="H35" s="43" t="s">
        <v>116</v>
      </c>
      <c r="I35" s="5" t="s">
        <v>21</v>
      </c>
      <c r="J35" s="44" t="s">
        <v>117</v>
      </c>
      <c r="K35" s="5" t="s">
        <v>19</v>
      </c>
      <c r="L35" s="44" t="s">
        <v>118</v>
      </c>
      <c r="M35" s="5" t="s">
        <v>19</v>
      </c>
      <c r="N35" s="7" t="s">
        <v>119</v>
      </c>
      <c r="O35" s="8">
        <f t="shared" ref="O35:O66" si="2">COUNTIF(C35,"Yes")+COUNTIF(E35,"Yes")+COUNTIF(G35,"Yes")+COUNTIF(I35,"Yes")+COUNTIF(K35,"Yes")</f>
        <v>3</v>
      </c>
      <c r="P35" s="9">
        <f>IF(M35="Yes",SUMPRODUCT(--ISNUMBER(SEARCH({"(1)";"(2)";"(3)";"(4)";"(5)";"(6)";"(7)";"(8)";"(9)"},N35))),0)</f>
        <v>4</v>
      </c>
      <c r="Q35" s="9">
        <f t="shared" ref="Q35:Q66" si="3">O35+P35</f>
        <v>7</v>
      </c>
    </row>
    <row r="36" spans="1:17" ht="60" customHeight="1" x14ac:dyDescent="0.35">
      <c r="A36" s="14" t="s">
        <v>51</v>
      </c>
      <c r="B36" s="10">
        <v>4</v>
      </c>
      <c r="C36" s="11" t="s">
        <v>21</v>
      </c>
      <c r="D36" s="12" t="s">
        <v>120</v>
      </c>
      <c r="E36" s="11" t="s">
        <v>21</v>
      </c>
      <c r="F36" s="12" t="s">
        <v>121</v>
      </c>
      <c r="G36" s="11" t="s">
        <v>21</v>
      </c>
      <c r="H36" s="12" t="s">
        <v>122</v>
      </c>
      <c r="I36" s="11" t="s">
        <v>21</v>
      </c>
      <c r="J36" s="12" t="s">
        <v>123</v>
      </c>
      <c r="K36" s="11" t="s">
        <v>19</v>
      </c>
      <c r="L36" s="12" t="s">
        <v>124</v>
      </c>
      <c r="M36" s="11" t="s">
        <v>19</v>
      </c>
      <c r="N36" s="12" t="s">
        <v>125</v>
      </c>
      <c r="O36" s="8">
        <f t="shared" si="2"/>
        <v>1</v>
      </c>
      <c r="P36" s="9">
        <f>IF(M36="Yes",SUMPRODUCT(--ISNUMBER(SEARCH({"(1)";"(2)";"(3)";"(4)";"(5)";"(6)";"(7)";"(8)";"(9)"},N36))),0)</f>
        <v>5</v>
      </c>
      <c r="Q36" s="9">
        <f t="shared" si="3"/>
        <v>6</v>
      </c>
    </row>
    <row r="37" spans="1:17" ht="60" customHeight="1" x14ac:dyDescent="0.35">
      <c r="A37" s="14" t="s">
        <v>51</v>
      </c>
      <c r="B37" s="4">
        <v>5</v>
      </c>
      <c r="C37" s="5" t="s">
        <v>21</v>
      </c>
      <c r="D37" s="6" t="s">
        <v>126</v>
      </c>
      <c r="E37" s="5" t="s">
        <v>21</v>
      </c>
      <c r="F37" s="6" t="s">
        <v>127</v>
      </c>
      <c r="G37" s="5" t="s">
        <v>21</v>
      </c>
      <c r="H37" s="6" t="s">
        <v>128</v>
      </c>
      <c r="I37" s="5" t="s">
        <v>21</v>
      </c>
      <c r="J37" s="6" t="s">
        <v>129</v>
      </c>
      <c r="K37" s="5" t="s">
        <v>19</v>
      </c>
      <c r="L37" s="6" t="s">
        <v>130</v>
      </c>
      <c r="M37" s="5" t="s">
        <v>19</v>
      </c>
      <c r="N37" s="6" t="s">
        <v>131</v>
      </c>
      <c r="O37" s="8">
        <f t="shared" si="2"/>
        <v>1</v>
      </c>
      <c r="P37" s="9">
        <f>IF(M37="Yes",SUMPRODUCT(--ISNUMBER(SEARCH({"(1)";"(2)";"(3)";"(4)";"(5)";"(6)";"(7)";"(8)";"(9)"},N37))),0)</f>
        <v>4</v>
      </c>
      <c r="Q37" s="9">
        <f t="shared" si="3"/>
        <v>5</v>
      </c>
    </row>
    <row r="38" spans="1:17" ht="60" customHeight="1" x14ac:dyDescent="0.35">
      <c r="A38" s="14" t="s">
        <v>51</v>
      </c>
      <c r="B38" s="10">
        <v>6</v>
      </c>
      <c r="C38" s="11" t="s">
        <v>19</v>
      </c>
      <c r="D38" s="12" t="s">
        <v>252</v>
      </c>
      <c r="E38" s="11" t="s">
        <v>19</v>
      </c>
      <c r="F38" s="12" t="s">
        <v>253</v>
      </c>
      <c r="G38" s="11" t="s">
        <v>21</v>
      </c>
      <c r="H38" s="12" t="s">
        <v>254</v>
      </c>
      <c r="I38" s="11" t="s">
        <v>21</v>
      </c>
      <c r="J38" s="12" t="s">
        <v>255</v>
      </c>
      <c r="K38" s="11" t="s">
        <v>19</v>
      </c>
      <c r="L38" s="12" t="s">
        <v>256</v>
      </c>
      <c r="M38" s="11" t="s">
        <v>19</v>
      </c>
      <c r="N38" s="12" t="s">
        <v>257</v>
      </c>
      <c r="O38" s="8">
        <f t="shared" si="2"/>
        <v>3</v>
      </c>
      <c r="P38" s="9">
        <f>IF(M38="Yes",SUMPRODUCT(--ISNUMBER(SEARCH({"(1)";"(2)";"(3)";"(4)";"(5)";"(6)";"(7)";"(8)";"(9)"},N38))),0)</f>
        <v>3</v>
      </c>
      <c r="Q38" s="9">
        <f t="shared" si="3"/>
        <v>6</v>
      </c>
    </row>
    <row r="39" spans="1:17" ht="60" customHeight="1" x14ac:dyDescent="0.35">
      <c r="A39" s="14" t="s">
        <v>51</v>
      </c>
      <c r="B39" s="4">
        <v>7</v>
      </c>
      <c r="C39" s="5" t="s">
        <v>21</v>
      </c>
      <c r="D39" s="6" t="s">
        <v>258</v>
      </c>
      <c r="E39" s="5" t="s">
        <v>21</v>
      </c>
      <c r="F39" s="6" t="s">
        <v>259</v>
      </c>
      <c r="G39" s="5" t="s">
        <v>21</v>
      </c>
      <c r="H39" s="6" t="s">
        <v>260</v>
      </c>
      <c r="I39" s="5" t="s">
        <v>21</v>
      </c>
      <c r="J39" s="6" t="s">
        <v>261</v>
      </c>
      <c r="K39" s="5" t="s">
        <v>19</v>
      </c>
      <c r="L39" s="6" t="s">
        <v>262</v>
      </c>
      <c r="M39" s="5" t="s">
        <v>19</v>
      </c>
      <c r="N39" s="6" t="s">
        <v>263</v>
      </c>
      <c r="O39" s="8">
        <f t="shared" si="2"/>
        <v>1</v>
      </c>
      <c r="P39" s="9">
        <f>IF(M39="Yes",SUMPRODUCT(--ISNUMBER(SEARCH({"(1)";"(2)";"(3)";"(4)";"(5)";"(6)";"(7)";"(8)";"(9)"},N39))),0)</f>
        <v>4</v>
      </c>
      <c r="Q39" s="9">
        <f t="shared" si="3"/>
        <v>5</v>
      </c>
    </row>
    <row r="40" spans="1:17" ht="60" customHeight="1" x14ac:dyDescent="0.35">
      <c r="A40" s="14" t="s">
        <v>51</v>
      </c>
      <c r="B40" s="10">
        <v>8</v>
      </c>
      <c r="C40" s="11" t="s">
        <v>19</v>
      </c>
      <c r="D40" s="12" t="s">
        <v>264</v>
      </c>
      <c r="E40" s="11" t="s">
        <v>21</v>
      </c>
      <c r="F40" s="12" t="s">
        <v>265</v>
      </c>
      <c r="G40" s="11" t="s">
        <v>21</v>
      </c>
      <c r="H40" s="12" t="s">
        <v>266</v>
      </c>
      <c r="I40" s="11" t="s">
        <v>21</v>
      </c>
      <c r="J40" s="12" t="s">
        <v>267</v>
      </c>
      <c r="K40" s="11" t="s">
        <v>19</v>
      </c>
      <c r="L40" s="12" t="s">
        <v>268</v>
      </c>
      <c r="M40" s="11" t="s">
        <v>19</v>
      </c>
      <c r="N40" s="12" t="s">
        <v>269</v>
      </c>
      <c r="O40" s="8">
        <f t="shared" si="2"/>
        <v>2</v>
      </c>
      <c r="P40" s="9">
        <f>IF(M40="Yes",SUMPRODUCT(--ISNUMBER(SEARCH({"(1)";"(2)";"(3)";"(4)";"(5)";"(6)";"(7)";"(8)";"(9)"},N40))),0)</f>
        <v>4</v>
      </c>
      <c r="Q40" s="9">
        <f t="shared" si="3"/>
        <v>6</v>
      </c>
    </row>
    <row r="41" spans="1:17" ht="60" customHeight="1" x14ac:dyDescent="0.35">
      <c r="A41" s="14" t="s">
        <v>51</v>
      </c>
      <c r="B41" s="4">
        <v>9</v>
      </c>
      <c r="C41" s="5" t="s">
        <v>19</v>
      </c>
      <c r="D41" s="6" t="s">
        <v>270</v>
      </c>
      <c r="E41" s="5" t="s">
        <v>21</v>
      </c>
      <c r="F41" s="6" t="s">
        <v>271</v>
      </c>
      <c r="G41" s="5" t="s">
        <v>19</v>
      </c>
      <c r="H41" s="6" t="s">
        <v>272</v>
      </c>
      <c r="I41" s="5" t="s">
        <v>21</v>
      </c>
      <c r="J41" s="6" t="s">
        <v>273</v>
      </c>
      <c r="K41" s="5" t="s">
        <v>19</v>
      </c>
      <c r="L41" s="6" t="s">
        <v>274</v>
      </c>
      <c r="M41" s="5" t="s">
        <v>19</v>
      </c>
      <c r="N41" s="6" t="s">
        <v>275</v>
      </c>
      <c r="O41" s="8">
        <f t="shared" si="2"/>
        <v>3</v>
      </c>
      <c r="P41" s="9">
        <f>IF(M41="Yes",SUMPRODUCT(--ISNUMBER(SEARCH({"(1)";"(2)";"(3)";"(4)";"(5)";"(6)";"(7)";"(8)";"(9)"},N41))),0)</f>
        <v>4</v>
      </c>
      <c r="Q41" s="9">
        <f t="shared" si="3"/>
        <v>7</v>
      </c>
    </row>
    <row r="42" spans="1:17" ht="60" customHeight="1" x14ac:dyDescent="0.35">
      <c r="A42" s="14" t="s">
        <v>51</v>
      </c>
      <c r="B42" s="10">
        <v>10</v>
      </c>
      <c r="C42" s="11" t="s">
        <v>21</v>
      </c>
      <c r="D42" s="12" t="s">
        <v>276</v>
      </c>
      <c r="E42" s="11" t="s">
        <v>21</v>
      </c>
      <c r="F42" s="12" t="s">
        <v>277</v>
      </c>
      <c r="G42" s="11" t="s">
        <v>21</v>
      </c>
      <c r="H42" s="12" t="s">
        <v>278</v>
      </c>
      <c r="I42" s="11" t="s">
        <v>21</v>
      </c>
      <c r="J42" s="12" t="s">
        <v>279</v>
      </c>
      <c r="K42" s="11" t="s">
        <v>19</v>
      </c>
      <c r="L42" s="12" t="s">
        <v>280</v>
      </c>
      <c r="M42" s="11" t="s">
        <v>19</v>
      </c>
      <c r="N42" s="12" t="s">
        <v>281</v>
      </c>
      <c r="O42" s="8">
        <f t="shared" si="2"/>
        <v>1</v>
      </c>
      <c r="P42" s="9">
        <f>IF(M42="Yes",SUMPRODUCT(--ISNUMBER(SEARCH({"(1)";"(2)";"(3)";"(4)";"(5)";"(6)";"(7)";"(8)";"(9)"},N42))),0)</f>
        <v>4</v>
      </c>
      <c r="Q42" s="9">
        <f t="shared" si="3"/>
        <v>5</v>
      </c>
    </row>
    <row r="43" spans="1:17" ht="60" customHeight="1" x14ac:dyDescent="0.35">
      <c r="A43" s="14" t="s">
        <v>51</v>
      </c>
      <c r="B43" s="4">
        <v>11</v>
      </c>
      <c r="C43" s="5" t="s">
        <v>21</v>
      </c>
      <c r="D43" s="6" t="s">
        <v>282</v>
      </c>
      <c r="E43" s="5" t="s">
        <v>21</v>
      </c>
      <c r="F43" s="6" t="s">
        <v>283</v>
      </c>
      <c r="G43" s="5" t="s">
        <v>21</v>
      </c>
      <c r="H43" s="6" t="s">
        <v>284</v>
      </c>
      <c r="I43" s="5" t="s">
        <v>21</v>
      </c>
      <c r="J43" s="6" t="s">
        <v>285</v>
      </c>
      <c r="K43" s="5" t="s">
        <v>19</v>
      </c>
      <c r="L43" s="6" t="s">
        <v>286</v>
      </c>
      <c r="M43" s="5" t="s">
        <v>19</v>
      </c>
      <c r="N43" s="6" t="s">
        <v>287</v>
      </c>
      <c r="O43" s="8">
        <f t="shared" si="2"/>
        <v>1</v>
      </c>
      <c r="P43" s="9">
        <f>IF(M43="Yes",SUMPRODUCT(--ISNUMBER(SEARCH({"(1)";"(2)";"(3)";"(4)";"(5)";"(6)";"(7)";"(8)";"(9)"},N43))),0)</f>
        <v>4</v>
      </c>
      <c r="Q43" s="9">
        <f t="shared" si="3"/>
        <v>5</v>
      </c>
    </row>
    <row r="44" spans="1:17" ht="60" customHeight="1" x14ac:dyDescent="0.35">
      <c r="A44" s="14" t="s">
        <v>51</v>
      </c>
      <c r="B44" s="10">
        <v>12</v>
      </c>
      <c r="C44" s="11" t="s">
        <v>21</v>
      </c>
      <c r="D44" s="12" t="s">
        <v>288</v>
      </c>
      <c r="E44" s="11" t="s">
        <v>21</v>
      </c>
      <c r="F44" s="12" t="s">
        <v>289</v>
      </c>
      <c r="G44" s="11" t="s">
        <v>21</v>
      </c>
      <c r="H44" s="12" t="s">
        <v>290</v>
      </c>
      <c r="I44" s="11" t="s">
        <v>21</v>
      </c>
      <c r="J44" s="12" t="s">
        <v>291</v>
      </c>
      <c r="K44" s="11" t="s">
        <v>19</v>
      </c>
      <c r="L44" s="12" t="s">
        <v>292</v>
      </c>
      <c r="M44" s="11" t="s">
        <v>19</v>
      </c>
      <c r="N44" s="12" t="s">
        <v>293</v>
      </c>
      <c r="O44" s="8">
        <f t="shared" si="2"/>
        <v>1</v>
      </c>
      <c r="P44" s="9">
        <f>IF(M44="Yes",SUMPRODUCT(--ISNUMBER(SEARCH({"(1)";"(2)";"(3)";"(4)";"(5)";"(6)";"(7)";"(8)";"(9)"},N44))),0)</f>
        <v>4</v>
      </c>
      <c r="Q44" s="9">
        <f t="shared" si="3"/>
        <v>5</v>
      </c>
    </row>
    <row r="45" spans="1:17" ht="60" customHeight="1" x14ac:dyDescent="0.35">
      <c r="A45" s="14" t="s">
        <v>51</v>
      </c>
      <c r="B45" s="4">
        <v>13</v>
      </c>
      <c r="C45" s="5" t="s">
        <v>19</v>
      </c>
      <c r="D45" s="6" t="s">
        <v>294</v>
      </c>
      <c r="E45" s="5" t="s">
        <v>21</v>
      </c>
      <c r="F45" s="6" t="s">
        <v>295</v>
      </c>
      <c r="G45" s="5" t="s">
        <v>21</v>
      </c>
      <c r="H45" s="6" t="s">
        <v>296</v>
      </c>
      <c r="I45" s="5" t="s">
        <v>21</v>
      </c>
      <c r="J45" s="6" t="s">
        <v>297</v>
      </c>
      <c r="K45" s="5" t="s">
        <v>19</v>
      </c>
      <c r="L45" s="6" t="s">
        <v>298</v>
      </c>
      <c r="M45" s="5" t="s">
        <v>19</v>
      </c>
      <c r="N45" s="6" t="s">
        <v>299</v>
      </c>
      <c r="O45" s="8">
        <f t="shared" si="2"/>
        <v>2</v>
      </c>
      <c r="P45" s="9">
        <f>IF(M45="Yes",SUMPRODUCT(--ISNUMBER(SEARCH({"(1)";"(2)";"(3)";"(4)";"(5)";"(6)";"(7)";"(8)";"(9)"},N45))),0)</f>
        <v>4</v>
      </c>
      <c r="Q45" s="9">
        <f t="shared" si="3"/>
        <v>6</v>
      </c>
    </row>
    <row r="46" spans="1:17" ht="60" customHeight="1" x14ac:dyDescent="0.35">
      <c r="A46" s="14" t="s">
        <v>51</v>
      </c>
      <c r="B46" s="10">
        <v>14</v>
      </c>
      <c r="C46" s="11" t="s">
        <v>21</v>
      </c>
      <c r="D46" s="12" t="s">
        <v>300</v>
      </c>
      <c r="E46" s="11" t="s">
        <v>21</v>
      </c>
      <c r="F46" s="12" t="s">
        <v>301</v>
      </c>
      <c r="G46" s="11" t="s">
        <v>21</v>
      </c>
      <c r="H46" s="12" t="s">
        <v>302</v>
      </c>
      <c r="I46" s="11" t="s">
        <v>21</v>
      </c>
      <c r="J46" s="12" t="s">
        <v>303</v>
      </c>
      <c r="K46" s="11" t="s">
        <v>19</v>
      </c>
      <c r="L46" s="12" t="s">
        <v>304</v>
      </c>
      <c r="M46" s="11" t="s">
        <v>19</v>
      </c>
      <c r="N46" s="12" t="s">
        <v>305</v>
      </c>
      <c r="O46" s="8">
        <f t="shared" si="2"/>
        <v>1</v>
      </c>
      <c r="P46" s="9">
        <f>IF(M46="Yes",SUMPRODUCT(--ISNUMBER(SEARCH({"(1)";"(2)";"(3)";"(4)";"(5)";"(6)";"(7)";"(8)";"(9)"},N46))),0)</f>
        <v>4</v>
      </c>
      <c r="Q46" s="9">
        <f t="shared" si="3"/>
        <v>5</v>
      </c>
    </row>
    <row r="47" spans="1:17" ht="60" customHeight="1" x14ac:dyDescent="0.35">
      <c r="A47" s="14" t="s">
        <v>51</v>
      </c>
      <c r="B47" s="4">
        <v>15</v>
      </c>
      <c r="C47" s="5" t="s">
        <v>19</v>
      </c>
      <c r="D47" s="6" t="s">
        <v>306</v>
      </c>
      <c r="E47" s="5" t="s">
        <v>21</v>
      </c>
      <c r="F47" s="6" t="s">
        <v>307</v>
      </c>
      <c r="G47" s="5" t="s">
        <v>21</v>
      </c>
      <c r="H47" s="6" t="s">
        <v>308</v>
      </c>
      <c r="I47" s="5" t="s">
        <v>21</v>
      </c>
      <c r="J47" s="6" t="s">
        <v>309</v>
      </c>
      <c r="K47" s="5" t="s">
        <v>19</v>
      </c>
      <c r="L47" s="6" t="s">
        <v>310</v>
      </c>
      <c r="M47" s="5" t="s">
        <v>19</v>
      </c>
      <c r="N47" s="6" t="s">
        <v>311</v>
      </c>
      <c r="O47" s="8">
        <f t="shared" si="2"/>
        <v>2</v>
      </c>
      <c r="P47" s="9">
        <f>IF(M47="Yes",SUMPRODUCT(--ISNUMBER(SEARCH({"(1)";"(2)";"(3)";"(4)";"(5)";"(6)";"(7)";"(8)";"(9)"},N47))),0)</f>
        <v>3</v>
      </c>
      <c r="Q47" s="9">
        <f t="shared" si="3"/>
        <v>5</v>
      </c>
    </row>
    <row r="48" spans="1:17" ht="60" customHeight="1" x14ac:dyDescent="0.35">
      <c r="A48" s="14" t="s">
        <v>51</v>
      </c>
      <c r="B48" s="10">
        <v>16</v>
      </c>
      <c r="C48" s="11" t="s">
        <v>19</v>
      </c>
      <c r="D48" s="12" t="s">
        <v>312</v>
      </c>
      <c r="E48" s="11" t="s">
        <v>21</v>
      </c>
      <c r="F48" s="12" t="s">
        <v>313</v>
      </c>
      <c r="G48" s="11" t="s">
        <v>21</v>
      </c>
      <c r="H48" s="12" t="s">
        <v>314</v>
      </c>
      <c r="I48" s="11" t="s">
        <v>21</v>
      </c>
      <c r="J48" s="12" t="s">
        <v>315</v>
      </c>
      <c r="K48" s="11" t="s">
        <v>19</v>
      </c>
      <c r="L48" s="12" t="s">
        <v>316</v>
      </c>
      <c r="M48" s="11" t="s">
        <v>19</v>
      </c>
      <c r="N48" s="12" t="s">
        <v>317</v>
      </c>
      <c r="O48" s="8">
        <f t="shared" si="2"/>
        <v>2</v>
      </c>
      <c r="P48" s="9">
        <f>IF(M48="Yes",SUMPRODUCT(--ISNUMBER(SEARCH({"(1)";"(2)";"(3)";"(4)";"(5)";"(6)";"(7)";"(8)";"(9)"},N48))),0)</f>
        <v>3</v>
      </c>
      <c r="Q48" s="9">
        <f t="shared" si="3"/>
        <v>5</v>
      </c>
    </row>
    <row r="49" spans="1:17" ht="60" customHeight="1" x14ac:dyDescent="0.35">
      <c r="A49" s="14" t="s">
        <v>51</v>
      </c>
      <c r="B49" s="4">
        <v>17</v>
      </c>
      <c r="C49" s="5" t="s">
        <v>19</v>
      </c>
      <c r="D49" s="6" t="s">
        <v>318</v>
      </c>
      <c r="E49" s="5" t="s">
        <v>21</v>
      </c>
      <c r="F49" s="6" t="s">
        <v>319</v>
      </c>
      <c r="G49" s="5" t="s">
        <v>21</v>
      </c>
      <c r="H49" s="6" t="s">
        <v>320</v>
      </c>
      <c r="I49" s="5" t="s">
        <v>21</v>
      </c>
      <c r="J49" s="6" t="s">
        <v>321</v>
      </c>
      <c r="K49" s="5" t="s">
        <v>19</v>
      </c>
      <c r="L49" s="6" t="s">
        <v>322</v>
      </c>
      <c r="M49" s="5" t="s">
        <v>19</v>
      </c>
      <c r="N49" s="6" t="s">
        <v>323</v>
      </c>
      <c r="O49" s="8">
        <f t="shared" si="2"/>
        <v>2</v>
      </c>
      <c r="P49" s="9">
        <f>IF(M49="Yes",SUMPRODUCT(--ISNUMBER(SEARCH({"(1)";"(2)";"(3)";"(4)";"(5)";"(6)";"(7)";"(8)";"(9)"},N49))),0)</f>
        <v>4</v>
      </c>
      <c r="Q49" s="9">
        <f t="shared" si="3"/>
        <v>6</v>
      </c>
    </row>
    <row r="50" spans="1:17" ht="60" customHeight="1" x14ac:dyDescent="0.35">
      <c r="A50" s="14" t="s">
        <v>51</v>
      </c>
      <c r="B50" s="10">
        <v>18</v>
      </c>
      <c r="C50" s="11" t="s">
        <v>19</v>
      </c>
      <c r="D50" s="12" t="s">
        <v>324</v>
      </c>
      <c r="E50" s="11" t="s">
        <v>21</v>
      </c>
      <c r="F50" s="12" t="s">
        <v>325</v>
      </c>
      <c r="G50" s="11" t="s">
        <v>21</v>
      </c>
      <c r="H50" s="12" t="s">
        <v>326</v>
      </c>
      <c r="I50" s="11" t="s">
        <v>21</v>
      </c>
      <c r="J50" s="12" t="s">
        <v>327</v>
      </c>
      <c r="K50" s="11" t="s">
        <v>19</v>
      </c>
      <c r="L50" s="12" t="s">
        <v>328</v>
      </c>
      <c r="M50" s="11" t="s">
        <v>19</v>
      </c>
      <c r="N50" s="12" t="s">
        <v>329</v>
      </c>
      <c r="O50" s="8">
        <f t="shared" si="2"/>
        <v>2</v>
      </c>
      <c r="P50" s="9">
        <f>IF(M50="Yes",SUMPRODUCT(--ISNUMBER(SEARCH({"(1)";"(2)";"(3)";"(4)";"(5)";"(6)";"(7)";"(8)";"(9)"},N50))),0)</f>
        <v>4</v>
      </c>
      <c r="Q50" s="9">
        <f t="shared" si="3"/>
        <v>6</v>
      </c>
    </row>
    <row r="51" spans="1:17" ht="60" customHeight="1" x14ac:dyDescent="0.35">
      <c r="A51" s="14" t="s">
        <v>51</v>
      </c>
      <c r="B51" s="4">
        <v>19</v>
      </c>
      <c r="C51" s="5" t="s">
        <v>19</v>
      </c>
      <c r="D51" s="6" t="s">
        <v>402</v>
      </c>
      <c r="E51" s="5" t="s">
        <v>21</v>
      </c>
      <c r="F51" s="6" t="s">
        <v>403</v>
      </c>
      <c r="G51" s="5" t="s">
        <v>21</v>
      </c>
      <c r="H51" s="6" t="s">
        <v>404</v>
      </c>
      <c r="I51" s="5" t="s">
        <v>21</v>
      </c>
      <c r="J51" s="6" t="s">
        <v>405</v>
      </c>
      <c r="K51" s="5" t="s">
        <v>19</v>
      </c>
      <c r="L51" s="6" t="s">
        <v>406</v>
      </c>
      <c r="M51" s="5" t="s">
        <v>19</v>
      </c>
      <c r="N51" s="6" t="s">
        <v>407</v>
      </c>
      <c r="O51" s="8">
        <f t="shared" si="2"/>
        <v>2</v>
      </c>
      <c r="P51" s="9">
        <f>IF(M51="Yes",SUMPRODUCT(--ISNUMBER(SEARCH({"(1)";"(2)";"(3)";"(4)";"(5)";"(6)";"(7)";"(8)";"(9)"},N51))),0)</f>
        <v>3</v>
      </c>
      <c r="Q51" s="9">
        <f t="shared" si="3"/>
        <v>5</v>
      </c>
    </row>
    <row r="52" spans="1:17" ht="60" customHeight="1" x14ac:dyDescent="0.35">
      <c r="A52" s="14" t="s">
        <v>51</v>
      </c>
      <c r="B52" s="10">
        <v>20</v>
      </c>
      <c r="C52" s="11" t="s">
        <v>21</v>
      </c>
      <c r="D52" s="12" t="s">
        <v>408</v>
      </c>
      <c r="E52" s="11" t="s">
        <v>21</v>
      </c>
      <c r="F52" s="12" t="s">
        <v>409</v>
      </c>
      <c r="G52" s="11" t="s">
        <v>21</v>
      </c>
      <c r="H52" s="12" t="s">
        <v>410</v>
      </c>
      <c r="I52" s="11" t="s">
        <v>21</v>
      </c>
      <c r="J52" s="12" t="s">
        <v>411</v>
      </c>
      <c r="K52" s="11" t="s">
        <v>19</v>
      </c>
      <c r="L52" s="12" t="s">
        <v>412</v>
      </c>
      <c r="M52" s="11" t="s">
        <v>19</v>
      </c>
      <c r="N52" s="12" t="s">
        <v>413</v>
      </c>
      <c r="O52" s="8">
        <f t="shared" si="2"/>
        <v>1</v>
      </c>
      <c r="P52" s="9">
        <f>IF(M52="Yes",SUMPRODUCT(--ISNUMBER(SEARCH({"(1)";"(2)";"(3)";"(4)";"(5)";"(6)";"(7)";"(8)";"(9)"},N52))),0)</f>
        <v>4</v>
      </c>
      <c r="Q52" s="9">
        <f t="shared" si="3"/>
        <v>5</v>
      </c>
    </row>
    <row r="53" spans="1:17" ht="60" customHeight="1" x14ac:dyDescent="0.35">
      <c r="A53" s="14" t="s">
        <v>51</v>
      </c>
      <c r="B53" s="4">
        <v>21</v>
      </c>
      <c r="C53" s="5" t="s">
        <v>19</v>
      </c>
      <c r="D53" s="6" t="s">
        <v>414</v>
      </c>
      <c r="E53" s="5" t="s">
        <v>21</v>
      </c>
      <c r="F53" s="6" t="s">
        <v>415</v>
      </c>
      <c r="G53" s="5" t="s">
        <v>21</v>
      </c>
      <c r="H53" s="6" t="s">
        <v>416</v>
      </c>
      <c r="I53" s="5" t="s">
        <v>21</v>
      </c>
      <c r="J53" s="6" t="s">
        <v>417</v>
      </c>
      <c r="K53" s="5" t="s">
        <v>19</v>
      </c>
      <c r="L53" s="6" t="s">
        <v>418</v>
      </c>
      <c r="M53" s="5" t="s">
        <v>19</v>
      </c>
      <c r="N53" s="6" t="s">
        <v>419</v>
      </c>
      <c r="O53" s="8">
        <f t="shared" si="2"/>
        <v>2</v>
      </c>
      <c r="P53" s="9">
        <f>IF(M53="Yes",SUMPRODUCT(--ISNUMBER(SEARCH({"(1)";"(2)";"(3)";"(4)";"(5)";"(6)";"(7)";"(8)";"(9)"},N53))),0)</f>
        <v>3</v>
      </c>
      <c r="Q53" s="9">
        <f t="shared" si="3"/>
        <v>5</v>
      </c>
    </row>
    <row r="54" spans="1:17" ht="60" customHeight="1" x14ac:dyDescent="0.35">
      <c r="A54" s="14" t="s">
        <v>51</v>
      </c>
      <c r="B54" s="10">
        <v>22</v>
      </c>
      <c r="C54" s="11" t="s">
        <v>19</v>
      </c>
      <c r="D54" s="12" t="s">
        <v>420</v>
      </c>
      <c r="E54" s="11" t="s">
        <v>21</v>
      </c>
      <c r="F54" s="12" t="s">
        <v>421</v>
      </c>
      <c r="G54" s="11" t="s">
        <v>21</v>
      </c>
      <c r="H54" s="12" t="s">
        <v>422</v>
      </c>
      <c r="I54" s="11" t="s">
        <v>21</v>
      </c>
      <c r="J54" s="12" t="s">
        <v>423</v>
      </c>
      <c r="K54" s="11" t="s">
        <v>19</v>
      </c>
      <c r="L54" s="12" t="s">
        <v>424</v>
      </c>
      <c r="M54" s="11" t="s">
        <v>19</v>
      </c>
      <c r="N54" s="12" t="s">
        <v>425</v>
      </c>
      <c r="O54" s="8">
        <f t="shared" si="2"/>
        <v>2</v>
      </c>
      <c r="P54" s="9">
        <f>IF(M54="Yes",SUMPRODUCT(--ISNUMBER(SEARCH({"(1)";"(2)";"(3)";"(4)";"(5)";"(6)";"(7)";"(8)";"(9)"},N54))),0)</f>
        <v>4</v>
      </c>
      <c r="Q54" s="9">
        <f t="shared" si="3"/>
        <v>6</v>
      </c>
    </row>
    <row r="55" spans="1:17" ht="60" customHeight="1" x14ac:dyDescent="0.35">
      <c r="A55" s="14" t="s">
        <v>51</v>
      </c>
      <c r="B55" s="4">
        <v>23</v>
      </c>
      <c r="C55" s="5" t="s">
        <v>19</v>
      </c>
      <c r="D55" s="6" t="s">
        <v>426</v>
      </c>
      <c r="E55" s="5" t="s">
        <v>21</v>
      </c>
      <c r="F55" s="6" t="s">
        <v>427</v>
      </c>
      <c r="G55" s="5" t="s">
        <v>21</v>
      </c>
      <c r="H55" s="6" t="s">
        <v>428</v>
      </c>
      <c r="I55" s="5" t="s">
        <v>19</v>
      </c>
      <c r="J55" s="6" t="s">
        <v>429</v>
      </c>
      <c r="K55" s="5" t="s">
        <v>19</v>
      </c>
      <c r="L55" s="6" t="s">
        <v>430</v>
      </c>
      <c r="M55" s="5" t="s">
        <v>19</v>
      </c>
      <c r="N55" s="6" t="s">
        <v>431</v>
      </c>
      <c r="O55" s="8">
        <f t="shared" si="2"/>
        <v>3</v>
      </c>
      <c r="P55" s="9">
        <f>IF(M55="Yes",SUMPRODUCT(--ISNUMBER(SEARCH({"(1)";"(2)";"(3)";"(4)";"(5)";"(6)";"(7)";"(8)";"(9)"},N55))),0)</f>
        <v>4</v>
      </c>
      <c r="Q55" s="9">
        <f t="shared" si="3"/>
        <v>7</v>
      </c>
    </row>
    <row r="56" spans="1:17" ht="60" customHeight="1" x14ac:dyDescent="0.35">
      <c r="A56" s="14" t="s">
        <v>51</v>
      </c>
      <c r="B56" s="10">
        <v>24</v>
      </c>
      <c r="C56" s="11" t="s">
        <v>19</v>
      </c>
      <c r="D56" s="12" t="s">
        <v>432</v>
      </c>
      <c r="E56" s="11" t="s">
        <v>21</v>
      </c>
      <c r="F56" s="12" t="s">
        <v>433</v>
      </c>
      <c r="G56" s="11" t="s">
        <v>21</v>
      </c>
      <c r="H56" s="12" t="s">
        <v>434</v>
      </c>
      <c r="I56" s="11" t="s">
        <v>21</v>
      </c>
      <c r="J56" s="12" t="s">
        <v>435</v>
      </c>
      <c r="K56" s="11" t="s">
        <v>19</v>
      </c>
      <c r="L56" s="12" t="s">
        <v>436</v>
      </c>
      <c r="M56" s="11" t="s">
        <v>19</v>
      </c>
      <c r="N56" s="12" t="s">
        <v>437</v>
      </c>
      <c r="O56" s="8">
        <f t="shared" si="2"/>
        <v>2</v>
      </c>
      <c r="P56" s="9">
        <f>IF(M56="Yes",SUMPRODUCT(--ISNUMBER(SEARCH({"(1)";"(2)";"(3)";"(4)";"(5)";"(6)";"(7)";"(8)";"(9)"},N56))),0)</f>
        <v>4</v>
      </c>
      <c r="Q56" s="9">
        <f t="shared" si="3"/>
        <v>6</v>
      </c>
    </row>
    <row r="57" spans="1:17" ht="60" customHeight="1" x14ac:dyDescent="0.35">
      <c r="A57" s="14" t="s">
        <v>51</v>
      </c>
      <c r="B57" s="4">
        <v>25</v>
      </c>
      <c r="C57" s="5" t="s">
        <v>21</v>
      </c>
      <c r="D57" s="6" t="s">
        <v>439</v>
      </c>
      <c r="E57" s="5" t="s">
        <v>21</v>
      </c>
      <c r="F57" s="6" t="s">
        <v>438</v>
      </c>
      <c r="G57" s="5" t="s">
        <v>21</v>
      </c>
      <c r="H57" s="6" t="s">
        <v>440</v>
      </c>
      <c r="I57" s="5" t="s">
        <v>21</v>
      </c>
      <c r="J57" s="6" t="s">
        <v>441</v>
      </c>
      <c r="K57" s="5" t="s">
        <v>19</v>
      </c>
      <c r="L57" s="6" t="s">
        <v>442</v>
      </c>
      <c r="M57" s="5" t="s">
        <v>19</v>
      </c>
      <c r="N57" s="6" t="s">
        <v>443</v>
      </c>
      <c r="O57" s="8">
        <f t="shared" si="2"/>
        <v>1</v>
      </c>
      <c r="P57" s="9">
        <f>IF(M57="Yes",SUMPRODUCT(--ISNUMBER(SEARCH({"(1)";"(2)";"(3)";"(4)";"(5)";"(6)";"(7)";"(8)";"(9)"},N57))),0)</f>
        <v>4</v>
      </c>
      <c r="Q57" s="9">
        <f t="shared" si="3"/>
        <v>5</v>
      </c>
    </row>
    <row r="58" spans="1:17" ht="60" customHeight="1" x14ac:dyDescent="0.35">
      <c r="A58" s="14" t="s">
        <v>51</v>
      </c>
      <c r="B58" s="10">
        <v>26</v>
      </c>
      <c r="C58" s="11" t="s">
        <v>19</v>
      </c>
      <c r="D58" s="12" t="s">
        <v>576</v>
      </c>
      <c r="E58" s="11" t="s">
        <v>21</v>
      </c>
      <c r="F58" s="12" t="s">
        <v>577</v>
      </c>
      <c r="G58" s="11" t="s">
        <v>21</v>
      </c>
      <c r="H58" s="12" t="s">
        <v>578</v>
      </c>
      <c r="I58" s="11" t="s">
        <v>21</v>
      </c>
      <c r="J58" s="12" t="s">
        <v>579</v>
      </c>
      <c r="K58" s="11" t="s">
        <v>19</v>
      </c>
      <c r="L58" s="12" t="s">
        <v>581</v>
      </c>
      <c r="M58" s="11" t="s">
        <v>19</v>
      </c>
      <c r="N58" s="12" t="s">
        <v>580</v>
      </c>
      <c r="O58" s="8">
        <f t="shared" si="2"/>
        <v>2</v>
      </c>
      <c r="P58" s="9">
        <f>IF(M58="Yes",SUMPRODUCT(--ISNUMBER(SEARCH({"(1)";"(2)";"(3)";"(4)";"(5)";"(6)";"(7)";"(8)";"(9)"},N58))),0)</f>
        <v>4</v>
      </c>
      <c r="Q58" s="9">
        <f t="shared" si="3"/>
        <v>6</v>
      </c>
    </row>
    <row r="59" spans="1:17" ht="60" customHeight="1" x14ac:dyDescent="0.35">
      <c r="A59" s="14" t="s">
        <v>51</v>
      </c>
      <c r="B59" s="4">
        <v>27</v>
      </c>
      <c r="C59" s="5" t="s">
        <v>21</v>
      </c>
      <c r="D59" s="6" t="s">
        <v>582</v>
      </c>
      <c r="E59" s="5" t="s">
        <v>21</v>
      </c>
      <c r="F59" s="6" t="s">
        <v>583</v>
      </c>
      <c r="G59" s="5" t="s">
        <v>21</v>
      </c>
      <c r="H59" s="6" t="s">
        <v>584</v>
      </c>
      <c r="I59" s="5" t="s">
        <v>21</v>
      </c>
      <c r="J59" s="6" t="s">
        <v>585</v>
      </c>
      <c r="K59" s="5" t="s">
        <v>19</v>
      </c>
      <c r="L59" s="6" t="s">
        <v>586</v>
      </c>
      <c r="M59" s="5" t="s">
        <v>19</v>
      </c>
      <c r="N59" s="6" t="s">
        <v>587</v>
      </c>
      <c r="O59" s="8">
        <f t="shared" si="2"/>
        <v>1</v>
      </c>
      <c r="P59" s="9">
        <f>IF(M59="Yes",SUMPRODUCT(--ISNUMBER(SEARCH({"(1)";"(2)";"(3)";"(4)";"(5)";"(6)";"(7)";"(8)";"(9)"},N59))),0)</f>
        <v>4</v>
      </c>
      <c r="Q59" s="9">
        <f t="shared" si="3"/>
        <v>5</v>
      </c>
    </row>
    <row r="60" spans="1:17" ht="60" customHeight="1" x14ac:dyDescent="0.35">
      <c r="A60" s="14" t="s">
        <v>51</v>
      </c>
      <c r="B60" s="10">
        <v>28</v>
      </c>
      <c r="C60" s="11" t="s">
        <v>21</v>
      </c>
      <c r="D60" s="12" t="s">
        <v>588</v>
      </c>
      <c r="E60" s="11" t="s">
        <v>21</v>
      </c>
      <c r="F60" s="12" t="s">
        <v>589</v>
      </c>
      <c r="G60" s="11" t="s">
        <v>21</v>
      </c>
      <c r="H60" s="12" t="s">
        <v>590</v>
      </c>
      <c r="I60" s="11" t="s">
        <v>21</v>
      </c>
      <c r="J60" s="12" t="s">
        <v>593</v>
      </c>
      <c r="K60" s="11" t="s">
        <v>19</v>
      </c>
      <c r="L60" s="12" t="s">
        <v>591</v>
      </c>
      <c r="M60" s="11" t="s">
        <v>19</v>
      </c>
      <c r="N60" s="12" t="s">
        <v>592</v>
      </c>
      <c r="O60" s="8">
        <f t="shared" si="2"/>
        <v>1</v>
      </c>
      <c r="P60" s="9">
        <f>IF(M60="Yes",SUMPRODUCT(--ISNUMBER(SEARCH({"(1)";"(2)";"(3)";"(4)";"(5)";"(6)";"(7)";"(8)";"(9)"},N60))),0)</f>
        <v>4</v>
      </c>
      <c r="Q60" s="9">
        <f t="shared" si="3"/>
        <v>5</v>
      </c>
    </row>
    <row r="61" spans="1:17" ht="60" customHeight="1" x14ac:dyDescent="0.35">
      <c r="A61" s="14" t="s">
        <v>51</v>
      </c>
      <c r="B61" s="4">
        <v>29</v>
      </c>
      <c r="C61" s="5" t="s">
        <v>21</v>
      </c>
      <c r="D61" s="6" t="s">
        <v>594</v>
      </c>
      <c r="E61" s="5" t="s">
        <v>19</v>
      </c>
      <c r="F61" s="6" t="s">
        <v>595</v>
      </c>
      <c r="G61" s="5" t="s">
        <v>21</v>
      </c>
      <c r="H61" s="6" t="s">
        <v>596</v>
      </c>
      <c r="I61" s="5" t="s">
        <v>21</v>
      </c>
      <c r="J61" s="6" t="s">
        <v>597</v>
      </c>
      <c r="K61" s="5" t="s">
        <v>19</v>
      </c>
      <c r="L61" s="6" t="s">
        <v>598</v>
      </c>
      <c r="M61" s="5" t="s">
        <v>19</v>
      </c>
      <c r="N61" s="6" t="s">
        <v>599</v>
      </c>
      <c r="O61" s="8">
        <f t="shared" si="2"/>
        <v>2</v>
      </c>
      <c r="P61" s="9">
        <f>IF(M61="Yes",SUMPRODUCT(--ISNUMBER(SEARCH({"(1)";"(2)";"(3)";"(4)";"(5)";"(6)";"(7)";"(8)";"(9)"},N61))),0)</f>
        <v>4</v>
      </c>
      <c r="Q61" s="9">
        <f t="shared" si="3"/>
        <v>6</v>
      </c>
    </row>
    <row r="62" spans="1:17" ht="60" customHeight="1" x14ac:dyDescent="0.35">
      <c r="A62" s="14" t="s">
        <v>51</v>
      </c>
      <c r="B62" s="10">
        <v>30</v>
      </c>
      <c r="C62" s="11" t="s">
        <v>21</v>
      </c>
      <c r="D62" s="12" t="s">
        <v>600</v>
      </c>
      <c r="E62" s="11" t="s">
        <v>21</v>
      </c>
      <c r="F62" s="12" t="s">
        <v>601</v>
      </c>
      <c r="G62" s="11" t="s">
        <v>21</v>
      </c>
      <c r="H62" s="12" t="s">
        <v>602</v>
      </c>
      <c r="I62" s="11" t="s">
        <v>21</v>
      </c>
      <c r="J62" s="12" t="s">
        <v>603</v>
      </c>
      <c r="K62" s="11" t="s">
        <v>19</v>
      </c>
      <c r="L62" s="12" t="s">
        <v>604</v>
      </c>
      <c r="M62" s="11" t="s">
        <v>19</v>
      </c>
      <c r="N62" s="12" t="s">
        <v>605</v>
      </c>
      <c r="O62" s="8">
        <f t="shared" si="2"/>
        <v>1</v>
      </c>
      <c r="P62" s="9">
        <f>IF(M62="Yes",SUMPRODUCT(--ISNUMBER(SEARCH({"(1)";"(2)";"(3)";"(4)";"(5)";"(6)";"(7)";"(8)";"(9)"},N62))),0)</f>
        <v>6</v>
      </c>
      <c r="Q62" s="9">
        <f t="shared" si="3"/>
        <v>7</v>
      </c>
    </row>
    <row r="63" spans="1:17" ht="60" customHeight="1" x14ac:dyDescent="0.35">
      <c r="A63" s="16" t="s">
        <v>58</v>
      </c>
      <c r="B63" s="4">
        <v>1</v>
      </c>
      <c r="C63" s="5" t="s">
        <v>19</v>
      </c>
      <c r="D63" s="6" t="s">
        <v>59</v>
      </c>
      <c r="E63" s="5" t="s">
        <v>21</v>
      </c>
      <c r="F63" s="6" t="s">
        <v>60</v>
      </c>
      <c r="G63" s="5" t="s">
        <v>19</v>
      </c>
      <c r="H63" s="6" t="s">
        <v>61</v>
      </c>
      <c r="I63" s="5" t="s">
        <v>19</v>
      </c>
      <c r="J63" s="6" t="s">
        <v>62</v>
      </c>
      <c r="K63" s="5" t="s">
        <v>19</v>
      </c>
      <c r="L63" s="6" t="s">
        <v>63</v>
      </c>
      <c r="M63" s="5" t="s">
        <v>19</v>
      </c>
      <c r="N63" s="6" t="s">
        <v>64</v>
      </c>
      <c r="O63" s="8">
        <f t="shared" si="2"/>
        <v>4</v>
      </c>
      <c r="P63" s="9">
        <f>IF(M63="Yes",SUMPRODUCT(--ISNUMBER(SEARCH({"(1)";"(2)";"(3)";"(4)";"(5)";"(6)";"(7)";"(8)";"(9)"},N63))),0)</f>
        <v>2</v>
      </c>
      <c r="Q63" s="9">
        <f t="shared" si="3"/>
        <v>6</v>
      </c>
    </row>
    <row r="64" spans="1:17" ht="60" customHeight="1" x14ac:dyDescent="0.35">
      <c r="A64" s="16" t="s">
        <v>58</v>
      </c>
      <c r="B64" s="10">
        <v>2</v>
      </c>
      <c r="C64" s="11" t="s">
        <v>21</v>
      </c>
      <c r="D64" s="12" t="s">
        <v>132</v>
      </c>
      <c r="E64" s="11" t="s">
        <v>19</v>
      </c>
      <c r="F64" s="12" t="s">
        <v>133</v>
      </c>
      <c r="G64" s="11" t="s">
        <v>21</v>
      </c>
      <c r="H64" s="12" t="s">
        <v>134</v>
      </c>
      <c r="I64" s="11" t="s">
        <v>19</v>
      </c>
      <c r="J64" s="12" t="s">
        <v>135</v>
      </c>
      <c r="K64" s="11" t="s">
        <v>19</v>
      </c>
      <c r="L64" s="12" t="s">
        <v>136</v>
      </c>
      <c r="M64" s="11" t="s">
        <v>19</v>
      </c>
      <c r="N64" s="12" t="s">
        <v>137</v>
      </c>
      <c r="O64" s="8">
        <f t="shared" si="2"/>
        <v>3</v>
      </c>
      <c r="P64" s="9">
        <f>IF(M64="Yes",SUMPRODUCT(--ISNUMBER(SEARCH({"(1)";"(2)";"(3)";"(4)";"(5)";"(6)";"(7)";"(8)";"(9)"},N64))),0)</f>
        <v>3</v>
      </c>
      <c r="Q64" s="9">
        <f t="shared" si="3"/>
        <v>6</v>
      </c>
    </row>
    <row r="65" spans="1:17" ht="60" customHeight="1" x14ac:dyDescent="0.35">
      <c r="A65" s="16" t="s">
        <v>58</v>
      </c>
      <c r="B65" s="4">
        <v>3</v>
      </c>
      <c r="C65" s="5" t="s">
        <v>21</v>
      </c>
      <c r="D65" s="6" t="s">
        <v>138</v>
      </c>
      <c r="E65" s="5" t="s">
        <v>21</v>
      </c>
      <c r="F65" s="6" t="s">
        <v>139</v>
      </c>
      <c r="G65" s="5" t="s">
        <v>19</v>
      </c>
      <c r="H65" s="6" t="s">
        <v>140</v>
      </c>
      <c r="I65" s="5" t="s">
        <v>19</v>
      </c>
      <c r="J65" s="6" t="s">
        <v>141</v>
      </c>
      <c r="K65" s="5" t="s">
        <v>19</v>
      </c>
      <c r="L65" s="6" t="s">
        <v>142</v>
      </c>
      <c r="M65" s="5" t="s">
        <v>19</v>
      </c>
      <c r="N65" s="6" t="s">
        <v>143</v>
      </c>
      <c r="O65" s="8">
        <f t="shared" si="2"/>
        <v>3</v>
      </c>
      <c r="P65" s="9">
        <f>IF(M65="Yes",SUMPRODUCT(--ISNUMBER(SEARCH({"(1)";"(2)";"(3)";"(4)";"(5)";"(6)";"(7)";"(8)";"(9)"},N65))),0)</f>
        <v>3</v>
      </c>
      <c r="Q65" s="9">
        <f t="shared" si="3"/>
        <v>6</v>
      </c>
    </row>
    <row r="66" spans="1:17" ht="60" customHeight="1" x14ac:dyDescent="0.35">
      <c r="A66" s="16" t="s">
        <v>58</v>
      </c>
      <c r="B66" s="10">
        <v>4</v>
      </c>
      <c r="C66" s="11" t="s">
        <v>21</v>
      </c>
      <c r="D66" s="12" t="s">
        <v>144</v>
      </c>
      <c r="E66" s="11" t="s">
        <v>19</v>
      </c>
      <c r="F66" s="12" t="s">
        <v>145</v>
      </c>
      <c r="G66" s="11" t="s">
        <v>19</v>
      </c>
      <c r="H66" s="12" t="s">
        <v>146</v>
      </c>
      <c r="I66" s="11" t="s">
        <v>19</v>
      </c>
      <c r="J66" s="12" t="s">
        <v>147</v>
      </c>
      <c r="K66" s="11" t="s">
        <v>19</v>
      </c>
      <c r="L66" s="12" t="s">
        <v>148</v>
      </c>
      <c r="M66" s="11" t="s">
        <v>19</v>
      </c>
      <c r="N66" s="12" t="s">
        <v>149</v>
      </c>
      <c r="O66" s="8">
        <f t="shared" si="2"/>
        <v>4</v>
      </c>
      <c r="P66" s="9">
        <f>IF(M66="Yes",SUMPRODUCT(--ISNUMBER(SEARCH({"(1)";"(2)";"(3)";"(4)";"(5)";"(6)";"(7)";"(8)";"(9)"},N66))),0)</f>
        <v>2</v>
      </c>
      <c r="Q66" s="9">
        <f t="shared" si="3"/>
        <v>6</v>
      </c>
    </row>
    <row r="67" spans="1:17" ht="60" customHeight="1" x14ac:dyDescent="0.35">
      <c r="A67" s="16" t="s">
        <v>58</v>
      </c>
      <c r="B67" s="4">
        <v>5</v>
      </c>
      <c r="C67" s="5" t="s">
        <v>21</v>
      </c>
      <c r="D67" s="6" t="s">
        <v>150</v>
      </c>
      <c r="E67" s="5" t="s">
        <v>19</v>
      </c>
      <c r="F67" s="6" t="s">
        <v>151</v>
      </c>
      <c r="G67" s="5" t="s">
        <v>21</v>
      </c>
      <c r="H67" s="6" t="s">
        <v>152</v>
      </c>
      <c r="I67" s="5" t="s">
        <v>19</v>
      </c>
      <c r="J67" s="6" t="s">
        <v>153</v>
      </c>
      <c r="K67" s="5" t="s">
        <v>19</v>
      </c>
      <c r="L67" s="6" t="s">
        <v>154</v>
      </c>
      <c r="M67" s="5" t="s">
        <v>19</v>
      </c>
      <c r="N67" s="6" t="s">
        <v>155</v>
      </c>
      <c r="O67" s="8">
        <f t="shared" ref="O67:O92" si="4">COUNTIF(C67,"Yes")+COUNTIF(E67,"Yes")+COUNTIF(G67,"Yes")+COUNTIF(I67,"Yes")+COUNTIF(K67,"Yes")</f>
        <v>3</v>
      </c>
      <c r="P67" s="9">
        <f>IF(M67="Yes",SUMPRODUCT(--ISNUMBER(SEARCH({"(1)";"(2)";"(3)";"(4)";"(5)";"(6)";"(7)";"(8)";"(9)"},N67))),0)</f>
        <v>3</v>
      </c>
      <c r="Q67" s="9">
        <f t="shared" ref="Q67:Q92" si="5">O67+P67</f>
        <v>6</v>
      </c>
    </row>
    <row r="68" spans="1:17" ht="60" customHeight="1" x14ac:dyDescent="0.35">
      <c r="A68" s="16" t="s">
        <v>58</v>
      </c>
      <c r="B68" s="10">
        <v>6</v>
      </c>
      <c r="C68" s="11" t="s">
        <v>21</v>
      </c>
      <c r="D68" s="12" t="s">
        <v>156</v>
      </c>
      <c r="E68" s="11" t="s">
        <v>21</v>
      </c>
      <c r="F68" s="12" t="s">
        <v>157</v>
      </c>
      <c r="G68" s="11" t="s">
        <v>19</v>
      </c>
      <c r="H68" s="12" t="s">
        <v>158</v>
      </c>
      <c r="I68" s="11" t="s">
        <v>19</v>
      </c>
      <c r="J68" s="12" t="s">
        <v>159</v>
      </c>
      <c r="K68" s="11" t="s">
        <v>19</v>
      </c>
      <c r="L68" s="12" t="s">
        <v>160</v>
      </c>
      <c r="M68" s="11" t="s">
        <v>19</v>
      </c>
      <c r="N68" s="12" t="s">
        <v>161</v>
      </c>
      <c r="O68" s="8">
        <f t="shared" si="4"/>
        <v>3</v>
      </c>
      <c r="P68" s="9">
        <f>IF(M68="Yes",SUMPRODUCT(--ISNUMBER(SEARCH({"(1)";"(2)";"(3)";"(4)";"(5)";"(6)";"(7)";"(8)";"(9)"},N68))),0)</f>
        <v>2</v>
      </c>
      <c r="Q68" s="9">
        <f t="shared" si="5"/>
        <v>5</v>
      </c>
    </row>
    <row r="69" spans="1:17" ht="60" customHeight="1" x14ac:dyDescent="0.35">
      <c r="A69" s="16" t="s">
        <v>58</v>
      </c>
      <c r="B69" s="4">
        <v>7</v>
      </c>
      <c r="C69" s="5" t="s">
        <v>19</v>
      </c>
      <c r="D69" s="6" t="s">
        <v>330</v>
      </c>
      <c r="E69" s="5" t="s">
        <v>19</v>
      </c>
      <c r="F69" s="6" t="s">
        <v>331</v>
      </c>
      <c r="G69" s="5" t="s">
        <v>19</v>
      </c>
      <c r="H69" s="6" t="s">
        <v>332</v>
      </c>
      <c r="I69" s="5" t="s">
        <v>19</v>
      </c>
      <c r="J69" s="6" t="s">
        <v>333</v>
      </c>
      <c r="K69" s="5" t="s">
        <v>19</v>
      </c>
      <c r="L69" s="6" t="s">
        <v>334</v>
      </c>
      <c r="M69" s="5" t="s">
        <v>19</v>
      </c>
      <c r="N69" s="6" t="s">
        <v>335</v>
      </c>
      <c r="O69" s="8">
        <f t="shared" si="4"/>
        <v>5</v>
      </c>
      <c r="P69" s="9">
        <f>IF(M69="Yes",SUMPRODUCT(--ISNUMBER(SEARCH({"(1)";"(2)";"(3)";"(4)";"(5)";"(6)";"(7)";"(8)";"(9)"},N69))),0)</f>
        <v>3</v>
      </c>
      <c r="Q69" s="9">
        <f t="shared" si="5"/>
        <v>8</v>
      </c>
    </row>
    <row r="70" spans="1:17" ht="60" customHeight="1" x14ac:dyDescent="0.35">
      <c r="A70" s="16" t="s">
        <v>58</v>
      </c>
      <c r="B70" s="10">
        <v>8</v>
      </c>
      <c r="C70" s="11" t="s">
        <v>19</v>
      </c>
      <c r="D70" s="12" t="s">
        <v>336</v>
      </c>
      <c r="E70" s="11" t="s">
        <v>21</v>
      </c>
      <c r="F70" s="12" t="s">
        <v>337</v>
      </c>
      <c r="G70" s="11" t="s">
        <v>19</v>
      </c>
      <c r="H70" s="12" t="s">
        <v>338</v>
      </c>
      <c r="I70" s="11" t="s">
        <v>21</v>
      </c>
      <c r="J70" s="12" t="s">
        <v>339</v>
      </c>
      <c r="K70" s="11" t="s">
        <v>19</v>
      </c>
      <c r="L70" s="12" t="s">
        <v>340</v>
      </c>
      <c r="M70" s="11" t="s">
        <v>19</v>
      </c>
      <c r="N70" s="12" t="s">
        <v>341</v>
      </c>
      <c r="O70" s="8">
        <f t="shared" si="4"/>
        <v>3</v>
      </c>
      <c r="P70" s="9">
        <f>IF(M70="Yes",SUMPRODUCT(--ISNUMBER(SEARCH({"(1)";"(2)";"(3)";"(4)";"(5)";"(6)";"(7)";"(8)";"(9)"},N70))),0)</f>
        <v>2</v>
      </c>
      <c r="Q70" s="9">
        <f t="shared" si="5"/>
        <v>5</v>
      </c>
    </row>
    <row r="71" spans="1:17" ht="60" customHeight="1" x14ac:dyDescent="0.35">
      <c r="A71" s="16" t="s">
        <v>58</v>
      </c>
      <c r="B71" s="4">
        <v>9</v>
      </c>
      <c r="C71" s="5" t="s">
        <v>19</v>
      </c>
      <c r="D71" s="6" t="s">
        <v>342</v>
      </c>
      <c r="E71" s="5" t="s">
        <v>21</v>
      </c>
      <c r="F71" s="6" t="s">
        <v>343</v>
      </c>
      <c r="G71" s="5" t="s">
        <v>21</v>
      </c>
      <c r="H71" s="6" t="s">
        <v>344</v>
      </c>
      <c r="I71" s="5" t="s">
        <v>19</v>
      </c>
      <c r="J71" s="6" t="s">
        <v>345</v>
      </c>
      <c r="K71" s="5" t="s">
        <v>19</v>
      </c>
      <c r="L71" s="6" t="s">
        <v>346</v>
      </c>
      <c r="M71" s="5" t="s">
        <v>19</v>
      </c>
      <c r="N71" s="6" t="s">
        <v>347</v>
      </c>
      <c r="O71" s="8">
        <f t="shared" si="4"/>
        <v>3</v>
      </c>
      <c r="P71" s="9">
        <f>IF(M71="Yes",SUMPRODUCT(--ISNUMBER(SEARCH({"(1)";"(2)";"(3)";"(4)";"(5)";"(6)";"(7)";"(8)";"(9)"},N71))),0)</f>
        <v>3</v>
      </c>
      <c r="Q71" s="9">
        <f t="shared" si="5"/>
        <v>6</v>
      </c>
    </row>
    <row r="72" spans="1:17" ht="60" customHeight="1" x14ac:dyDescent="0.35">
      <c r="A72" s="16" t="s">
        <v>58</v>
      </c>
      <c r="B72" s="10">
        <v>10</v>
      </c>
      <c r="C72" s="11" t="s">
        <v>21</v>
      </c>
      <c r="D72" s="12" t="s">
        <v>348</v>
      </c>
      <c r="E72" s="11" t="s">
        <v>21</v>
      </c>
      <c r="F72" s="12" t="s">
        <v>349</v>
      </c>
      <c r="G72" s="11" t="s">
        <v>21</v>
      </c>
      <c r="H72" s="12" t="s">
        <v>350</v>
      </c>
      <c r="I72" s="11" t="s">
        <v>21</v>
      </c>
      <c r="J72" s="12" t="s">
        <v>351</v>
      </c>
      <c r="K72" s="11" t="s">
        <v>19</v>
      </c>
      <c r="L72" s="12" t="s">
        <v>352</v>
      </c>
      <c r="M72" s="11" t="s">
        <v>19</v>
      </c>
      <c r="N72" s="12" t="s">
        <v>353</v>
      </c>
      <c r="O72" s="8">
        <f t="shared" si="4"/>
        <v>1</v>
      </c>
      <c r="P72" s="9">
        <f>IF(M72="Yes",SUMPRODUCT(--ISNUMBER(SEARCH({"(1)";"(2)";"(3)";"(4)";"(5)";"(6)";"(7)";"(8)";"(9)"},N72))),0)</f>
        <v>3</v>
      </c>
      <c r="Q72" s="9">
        <f t="shared" si="5"/>
        <v>4</v>
      </c>
    </row>
    <row r="73" spans="1:17" ht="60" customHeight="1" x14ac:dyDescent="0.35">
      <c r="A73" s="16" t="s">
        <v>58</v>
      </c>
      <c r="B73" s="4">
        <v>11</v>
      </c>
      <c r="C73" s="5" t="s">
        <v>19</v>
      </c>
      <c r="D73" s="6" t="s">
        <v>354</v>
      </c>
      <c r="E73" s="5" t="s">
        <v>21</v>
      </c>
      <c r="F73" s="6" t="s">
        <v>355</v>
      </c>
      <c r="G73" s="5" t="s">
        <v>19</v>
      </c>
      <c r="H73" s="6" t="s">
        <v>356</v>
      </c>
      <c r="I73" s="5" t="s">
        <v>19</v>
      </c>
      <c r="J73" s="6" t="s">
        <v>357</v>
      </c>
      <c r="K73" s="5" t="s">
        <v>19</v>
      </c>
      <c r="L73" s="6" t="s">
        <v>358</v>
      </c>
      <c r="M73" s="5" t="s">
        <v>19</v>
      </c>
      <c r="N73" s="6" t="s">
        <v>359</v>
      </c>
      <c r="O73" s="8">
        <f t="shared" si="4"/>
        <v>4</v>
      </c>
      <c r="P73" s="9">
        <f>IF(M73="Yes",SUMPRODUCT(--ISNUMBER(SEARCH({"(1)";"(2)";"(3)";"(4)";"(5)";"(6)";"(7)";"(8)";"(9)"},N73))),0)</f>
        <v>3</v>
      </c>
      <c r="Q73" s="9">
        <f t="shared" si="5"/>
        <v>7</v>
      </c>
    </row>
    <row r="74" spans="1:17" ht="60" customHeight="1" x14ac:dyDescent="0.35">
      <c r="A74" s="16" t="s">
        <v>58</v>
      </c>
      <c r="B74" s="10">
        <v>12</v>
      </c>
      <c r="C74" s="11" t="s">
        <v>19</v>
      </c>
      <c r="D74" s="12" t="s">
        <v>360</v>
      </c>
      <c r="E74" s="11" t="s">
        <v>21</v>
      </c>
      <c r="F74" s="12" t="s">
        <v>361</v>
      </c>
      <c r="G74" s="11" t="s">
        <v>21</v>
      </c>
      <c r="H74" s="12" t="s">
        <v>362</v>
      </c>
      <c r="I74" s="11" t="s">
        <v>21</v>
      </c>
      <c r="J74" s="12" t="s">
        <v>363</v>
      </c>
      <c r="K74" s="11" t="s">
        <v>19</v>
      </c>
      <c r="L74" s="12" t="s">
        <v>364</v>
      </c>
      <c r="M74" s="11" t="s">
        <v>19</v>
      </c>
      <c r="N74" s="12" t="s">
        <v>365</v>
      </c>
      <c r="O74" s="8">
        <f t="shared" si="4"/>
        <v>2</v>
      </c>
      <c r="P74" s="9">
        <f>IF(M74="Yes",SUMPRODUCT(--ISNUMBER(SEARCH({"(1)";"(2)";"(3)";"(4)";"(5)";"(6)";"(7)";"(8)";"(9)"},N74))),0)</f>
        <v>3</v>
      </c>
      <c r="Q74" s="9">
        <f t="shared" si="5"/>
        <v>5</v>
      </c>
    </row>
    <row r="75" spans="1:17" ht="60" customHeight="1" x14ac:dyDescent="0.35">
      <c r="A75" s="16" t="s">
        <v>58</v>
      </c>
      <c r="B75" s="4">
        <v>13</v>
      </c>
      <c r="C75" s="5" t="s">
        <v>21</v>
      </c>
      <c r="D75" s="6" t="s">
        <v>366</v>
      </c>
      <c r="E75" s="5" t="s">
        <v>21</v>
      </c>
      <c r="F75" s="6" t="s">
        <v>367</v>
      </c>
      <c r="G75" s="5" t="s">
        <v>19</v>
      </c>
      <c r="H75" s="6" t="s">
        <v>368</v>
      </c>
      <c r="I75" s="5" t="s">
        <v>21</v>
      </c>
      <c r="J75" s="6" t="s">
        <v>369</v>
      </c>
      <c r="K75" s="5" t="s">
        <v>19</v>
      </c>
      <c r="L75" s="6" t="s">
        <v>370</v>
      </c>
      <c r="M75" s="5" t="s">
        <v>19</v>
      </c>
      <c r="N75" s="6" t="s">
        <v>371</v>
      </c>
      <c r="O75" s="8">
        <f t="shared" si="4"/>
        <v>2</v>
      </c>
      <c r="P75" s="9">
        <f>IF(M75="Yes",SUMPRODUCT(--ISNUMBER(SEARCH({"(1)";"(2)";"(3)";"(4)";"(5)";"(6)";"(7)";"(8)";"(9)"},N75))),0)</f>
        <v>2</v>
      </c>
      <c r="Q75" s="9">
        <f t="shared" si="5"/>
        <v>4</v>
      </c>
    </row>
    <row r="76" spans="1:17" ht="60" customHeight="1" x14ac:dyDescent="0.35">
      <c r="A76" s="16" t="s">
        <v>58</v>
      </c>
      <c r="B76" s="10">
        <v>14</v>
      </c>
      <c r="C76" s="11" t="s">
        <v>19</v>
      </c>
      <c r="D76" s="12" t="s">
        <v>444</v>
      </c>
      <c r="E76" s="11" t="s">
        <v>21</v>
      </c>
      <c r="F76" s="12" t="s">
        <v>445</v>
      </c>
      <c r="G76" s="11" t="s">
        <v>19</v>
      </c>
      <c r="H76" s="12" t="s">
        <v>446</v>
      </c>
      <c r="I76" s="11" t="s">
        <v>19</v>
      </c>
      <c r="J76" s="12" t="s">
        <v>447</v>
      </c>
      <c r="K76" s="11" t="s">
        <v>19</v>
      </c>
      <c r="L76" s="12" t="s">
        <v>448</v>
      </c>
      <c r="M76" s="11" t="s">
        <v>19</v>
      </c>
      <c r="N76" s="12" t="s">
        <v>449</v>
      </c>
      <c r="O76" s="8">
        <f t="shared" si="4"/>
        <v>4</v>
      </c>
      <c r="P76" s="9">
        <f>IF(M76="Yes",SUMPRODUCT(--ISNUMBER(SEARCH({"(1)";"(2)";"(3)";"(4)";"(5)";"(6)";"(7)";"(8)";"(9)"},N76))),0)</f>
        <v>2</v>
      </c>
      <c r="Q76" s="9">
        <f t="shared" si="5"/>
        <v>6</v>
      </c>
    </row>
    <row r="77" spans="1:17" ht="60" customHeight="1" x14ac:dyDescent="0.35">
      <c r="A77" s="16" t="s">
        <v>58</v>
      </c>
      <c r="B77" s="4">
        <v>15</v>
      </c>
      <c r="C77" s="5" t="s">
        <v>21</v>
      </c>
      <c r="D77" s="6" t="s">
        <v>450</v>
      </c>
      <c r="E77" s="5" t="s">
        <v>21</v>
      </c>
      <c r="F77" s="6" t="s">
        <v>451</v>
      </c>
      <c r="G77" s="5" t="s">
        <v>19</v>
      </c>
      <c r="H77" s="6" t="s">
        <v>452</v>
      </c>
      <c r="I77" s="5" t="s">
        <v>19</v>
      </c>
      <c r="J77" s="6" t="s">
        <v>453</v>
      </c>
      <c r="K77" s="5" t="s">
        <v>19</v>
      </c>
      <c r="L77" s="6" t="s">
        <v>454</v>
      </c>
      <c r="M77" s="5" t="s">
        <v>19</v>
      </c>
      <c r="N77" s="6" t="s">
        <v>455</v>
      </c>
      <c r="O77" s="8">
        <f t="shared" si="4"/>
        <v>3</v>
      </c>
      <c r="P77" s="9">
        <f>IF(M77="Yes",SUMPRODUCT(--ISNUMBER(SEARCH({"(1)";"(2)";"(3)";"(4)";"(5)";"(6)";"(7)";"(8)";"(9)"},N77))),0)</f>
        <v>2</v>
      </c>
      <c r="Q77" s="9">
        <f t="shared" si="5"/>
        <v>5</v>
      </c>
    </row>
    <row r="78" spans="1:17" ht="60" customHeight="1" x14ac:dyDescent="0.35">
      <c r="A78" s="16" t="s">
        <v>58</v>
      </c>
      <c r="B78" s="10">
        <v>16</v>
      </c>
      <c r="C78" s="11" t="s">
        <v>19</v>
      </c>
      <c r="D78" s="12" t="s">
        <v>456</v>
      </c>
      <c r="E78" s="11" t="s">
        <v>19</v>
      </c>
      <c r="F78" s="12" t="s">
        <v>457</v>
      </c>
      <c r="G78" s="11" t="s">
        <v>19</v>
      </c>
      <c r="H78" s="12" t="s">
        <v>458</v>
      </c>
      <c r="I78" s="11" t="s">
        <v>19</v>
      </c>
      <c r="J78" s="12" t="s">
        <v>459</v>
      </c>
      <c r="K78" s="11" t="s">
        <v>19</v>
      </c>
      <c r="L78" s="12" t="s">
        <v>460</v>
      </c>
      <c r="M78" s="11" t="s">
        <v>19</v>
      </c>
      <c r="N78" s="12" t="s">
        <v>461</v>
      </c>
      <c r="O78" s="8">
        <f t="shared" si="4"/>
        <v>5</v>
      </c>
      <c r="P78" s="9">
        <f>IF(M78="Yes",SUMPRODUCT(--ISNUMBER(SEARCH({"(1)";"(2)";"(3)";"(4)";"(5)";"(6)";"(7)";"(8)";"(9)"},N78))),0)</f>
        <v>3</v>
      </c>
      <c r="Q78" s="9">
        <f t="shared" si="5"/>
        <v>8</v>
      </c>
    </row>
    <row r="79" spans="1:17" ht="60" customHeight="1" x14ac:dyDescent="0.35">
      <c r="A79" s="16" t="s">
        <v>58</v>
      </c>
      <c r="B79" s="4">
        <v>17</v>
      </c>
      <c r="C79" s="5" t="s">
        <v>21</v>
      </c>
      <c r="D79" s="6" t="s">
        <v>462</v>
      </c>
      <c r="E79" s="5" t="s">
        <v>19</v>
      </c>
      <c r="F79" s="6" t="s">
        <v>463</v>
      </c>
      <c r="G79" s="5" t="s">
        <v>21</v>
      </c>
      <c r="H79" s="6" t="s">
        <v>464</v>
      </c>
      <c r="I79" s="5" t="s">
        <v>21</v>
      </c>
      <c r="J79" s="6" t="s">
        <v>465</v>
      </c>
      <c r="K79" s="5" t="s">
        <v>19</v>
      </c>
      <c r="L79" s="6" t="s">
        <v>466</v>
      </c>
      <c r="M79" s="5" t="s">
        <v>19</v>
      </c>
      <c r="N79" s="6" t="s">
        <v>467</v>
      </c>
      <c r="O79" s="8">
        <f t="shared" si="4"/>
        <v>2</v>
      </c>
      <c r="P79" s="9">
        <f>IF(M79="Yes",SUMPRODUCT(--ISNUMBER(SEARCH({"(1)";"(2)";"(3)";"(4)";"(5)";"(6)";"(7)";"(8)";"(9)"},N79))),0)</f>
        <v>3</v>
      </c>
      <c r="Q79" s="9">
        <f t="shared" si="5"/>
        <v>5</v>
      </c>
    </row>
    <row r="80" spans="1:17" ht="60" customHeight="1" x14ac:dyDescent="0.35">
      <c r="A80" s="16" t="s">
        <v>58</v>
      </c>
      <c r="B80" s="10">
        <v>18</v>
      </c>
      <c r="C80" s="11" t="s">
        <v>19</v>
      </c>
      <c r="D80" s="12" t="s">
        <v>468</v>
      </c>
      <c r="E80" s="11" t="s">
        <v>21</v>
      </c>
      <c r="F80" s="12" t="s">
        <v>469</v>
      </c>
      <c r="G80" s="11" t="s">
        <v>19</v>
      </c>
      <c r="H80" s="12" t="s">
        <v>470</v>
      </c>
      <c r="I80" s="11" t="s">
        <v>19</v>
      </c>
      <c r="J80" s="12" t="s">
        <v>471</v>
      </c>
      <c r="K80" s="11" t="s">
        <v>19</v>
      </c>
      <c r="L80" s="12" t="s">
        <v>472</v>
      </c>
      <c r="M80" s="11" t="s">
        <v>19</v>
      </c>
      <c r="N80" s="12" t="s">
        <v>473</v>
      </c>
      <c r="O80" s="8">
        <f t="shared" si="4"/>
        <v>4</v>
      </c>
      <c r="P80" s="9">
        <f>IF(M80="Yes",SUMPRODUCT(--ISNUMBER(SEARCH({"(1)";"(2)";"(3)";"(4)";"(5)";"(6)";"(7)";"(8)";"(9)"},N80))),0)</f>
        <v>3</v>
      </c>
      <c r="Q80" s="9">
        <f t="shared" si="5"/>
        <v>7</v>
      </c>
    </row>
    <row r="81" spans="1:17" ht="60" customHeight="1" x14ac:dyDescent="0.35">
      <c r="A81" s="16" t="s">
        <v>58</v>
      </c>
      <c r="B81" s="4">
        <v>19</v>
      </c>
      <c r="C81" s="5" t="s">
        <v>19</v>
      </c>
      <c r="D81" s="6" t="s">
        <v>474</v>
      </c>
      <c r="E81" s="5" t="s">
        <v>21</v>
      </c>
      <c r="F81" s="6" t="s">
        <v>475</v>
      </c>
      <c r="G81" s="5" t="s">
        <v>19</v>
      </c>
      <c r="H81" s="6" t="s">
        <v>476</v>
      </c>
      <c r="I81" s="5" t="s">
        <v>19</v>
      </c>
      <c r="J81" s="6" t="s">
        <v>477</v>
      </c>
      <c r="K81" s="5" t="s">
        <v>19</v>
      </c>
      <c r="L81" s="6" t="s">
        <v>478</v>
      </c>
      <c r="M81" s="5" t="s">
        <v>19</v>
      </c>
      <c r="N81" s="6" t="s">
        <v>479</v>
      </c>
      <c r="O81" s="8">
        <f t="shared" si="4"/>
        <v>4</v>
      </c>
      <c r="P81" s="9">
        <f>IF(M81="Yes",SUMPRODUCT(--ISNUMBER(SEARCH({"(1)";"(2)";"(3)";"(4)";"(5)";"(6)";"(7)";"(8)";"(9)"},N81))),0)</f>
        <v>2</v>
      </c>
      <c r="Q81" s="9">
        <f t="shared" si="5"/>
        <v>6</v>
      </c>
    </row>
    <row r="82" spans="1:17" ht="60" customHeight="1" x14ac:dyDescent="0.35">
      <c r="A82" s="16" t="s">
        <v>58</v>
      </c>
      <c r="B82" s="10">
        <v>20</v>
      </c>
      <c r="C82" s="11" t="s">
        <v>21</v>
      </c>
      <c r="D82" s="12" t="s">
        <v>480</v>
      </c>
      <c r="E82" s="11" t="s">
        <v>19</v>
      </c>
      <c r="F82" s="12" t="s">
        <v>481</v>
      </c>
      <c r="G82" s="11" t="s">
        <v>19</v>
      </c>
      <c r="H82" s="12" t="s">
        <v>482</v>
      </c>
      <c r="I82" s="11" t="s">
        <v>19</v>
      </c>
      <c r="J82" s="12" t="s">
        <v>483</v>
      </c>
      <c r="K82" s="11" t="s">
        <v>19</v>
      </c>
      <c r="L82" s="12" t="s">
        <v>484</v>
      </c>
      <c r="M82" s="11" t="s">
        <v>19</v>
      </c>
      <c r="N82" s="12" t="s">
        <v>485</v>
      </c>
      <c r="O82" s="8">
        <f t="shared" si="4"/>
        <v>4</v>
      </c>
      <c r="P82" s="9">
        <f>IF(M82="Yes",SUMPRODUCT(--ISNUMBER(SEARCH({"(1)";"(2)";"(3)";"(4)";"(5)";"(6)";"(7)";"(8)";"(9)"},N82))),0)</f>
        <v>3</v>
      </c>
      <c r="Q82" s="9">
        <f t="shared" si="5"/>
        <v>7</v>
      </c>
    </row>
    <row r="83" spans="1:17" ht="60" customHeight="1" x14ac:dyDescent="0.35">
      <c r="A83" s="16" t="s">
        <v>58</v>
      </c>
      <c r="B83" s="4">
        <v>21</v>
      </c>
      <c r="C83" s="5" t="s">
        <v>21</v>
      </c>
      <c r="D83" s="6" t="s">
        <v>486</v>
      </c>
      <c r="E83" s="5" t="s">
        <v>19</v>
      </c>
      <c r="F83" s="6" t="s">
        <v>487</v>
      </c>
      <c r="G83" s="5" t="s">
        <v>19</v>
      </c>
      <c r="H83" s="6" t="s">
        <v>488</v>
      </c>
      <c r="I83" s="5" t="s">
        <v>21</v>
      </c>
      <c r="J83" s="6" t="s">
        <v>489</v>
      </c>
      <c r="K83" s="5" t="s">
        <v>19</v>
      </c>
      <c r="L83" s="6" t="s">
        <v>490</v>
      </c>
      <c r="M83" s="5" t="s">
        <v>19</v>
      </c>
      <c r="N83" s="6" t="s">
        <v>491</v>
      </c>
      <c r="O83" s="8">
        <f t="shared" si="4"/>
        <v>3</v>
      </c>
      <c r="P83" s="9">
        <f>IF(M83="Yes",SUMPRODUCT(--ISNUMBER(SEARCH({"(1)";"(2)";"(3)";"(4)";"(5)";"(6)";"(7)";"(8)";"(9)"},N83))),0)</f>
        <v>3</v>
      </c>
      <c r="Q83" s="9">
        <f t="shared" si="5"/>
        <v>6</v>
      </c>
    </row>
    <row r="84" spans="1:17" ht="60" customHeight="1" x14ac:dyDescent="0.35">
      <c r="A84" s="16" t="s">
        <v>58</v>
      </c>
      <c r="B84" s="10">
        <v>22</v>
      </c>
      <c r="C84" s="11" t="s">
        <v>19</v>
      </c>
      <c r="D84" s="12" t="s">
        <v>492</v>
      </c>
      <c r="E84" s="11" t="s">
        <v>19</v>
      </c>
      <c r="F84" s="12" t="s">
        <v>493</v>
      </c>
      <c r="G84" s="11" t="s">
        <v>19</v>
      </c>
      <c r="H84" s="12" t="s">
        <v>494</v>
      </c>
      <c r="I84" s="11" t="s">
        <v>21</v>
      </c>
      <c r="J84" s="12" t="s">
        <v>495</v>
      </c>
      <c r="K84" s="11" t="s">
        <v>19</v>
      </c>
      <c r="L84" s="12" t="s">
        <v>496</v>
      </c>
      <c r="M84" s="11" t="s">
        <v>19</v>
      </c>
      <c r="N84" s="12" t="s">
        <v>497</v>
      </c>
      <c r="O84" s="8">
        <f t="shared" si="4"/>
        <v>4</v>
      </c>
      <c r="P84" s="9">
        <f>IF(M84="Yes",SUMPRODUCT(--ISNUMBER(SEARCH({"(1)";"(2)";"(3)";"(4)";"(5)";"(6)";"(7)";"(8)";"(9)"},N84))),0)</f>
        <v>3</v>
      </c>
      <c r="Q84" s="9">
        <f t="shared" si="5"/>
        <v>7</v>
      </c>
    </row>
    <row r="85" spans="1:17" ht="60" customHeight="1" x14ac:dyDescent="0.35">
      <c r="A85" s="16" t="s">
        <v>58</v>
      </c>
      <c r="B85" s="4">
        <v>23</v>
      </c>
      <c r="C85" s="5" t="s">
        <v>19</v>
      </c>
      <c r="D85" s="6" t="s">
        <v>498</v>
      </c>
      <c r="E85" s="5" t="s">
        <v>21</v>
      </c>
      <c r="F85" s="6" t="s">
        <v>499</v>
      </c>
      <c r="G85" s="5" t="s">
        <v>19</v>
      </c>
      <c r="H85" s="6" t="s">
        <v>500</v>
      </c>
      <c r="I85" s="5" t="s">
        <v>21</v>
      </c>
      <c r="J85" s="6" t="s">
        <v>501</v>
      </c>
      <c r="K85" s="5" t="s">
        <v>19</v>
      </c>
      <c r="L85" s="6" t="s">
        <v>502</v>
      </c>
      <c r="M85" s="5" t="s">
        <v>19</v>
      </c>
      <c r="N85" s="6" t="s">
        <v>503</v>
      </c>
      <c r="O85" s="8">
        <f t="shared" si="4"/>
        <v>3</v>
      </c>
      <c r="P85" s="9">
        <f>IF(M85="Yes",SUMPRODUCT(--ISNUMBER(SEARCH({"(1)";"(2)";"(3)";"(4)";"(5)";"(6)";"(7)";"(8)";"(9)"},N85))),0)</f>
        <v>3</v>
      </c>
      <c r="Q85" s="9">
        <f t="shared" si="5"/>
        <v>6</v>
      </c>
    </row>
    <row r="86" spans="1:17" ht="60" customHeight="1" x14ac:dyDescent="0.35">
      <c r="A86" s="16" t="s">
        <v>58</v>
      </c>
      <c r="B86" s="10">
        <v>24</v>
      </c>
      <c r="C86" s="11" t="s">
        <v>19</v>
      </c>
      <c r="D86" s="12" t="s">
        <v>504</v>
      </c>
      <c r="E86" s="11" t="s">
        <v>21</v>
      </c>
      <c r="F86" s="12" t="s">
        <v>505</v>
      </c>
      <c r="G86" s="11" t="s">
        <v>19</v>
      </c>
      <c r="H86" s="12" t="s">
        <v>506</v>
      </c>
      <c r="I86" s="11" t="s">
        <v>19</v>
      </c>
      <c r="J86" s="12" t="s">
        <v>507</v>
      </c>
      <c r="K86" s="11" t="s">
        <v>21</v>
      </c>
      <c r="L86" s="12" t="s">
        <v>508</v>
      </c>
      <c r="M86" s="11" t="s">
        <v>19</v>
      </c>
      <c r="N86" s="12" t="s">
        <v>509</v>
      </c>
      <c r="O86" s="8">
        <f t="shared" si="4"/>
        <v>3</v>
      </c>
      <c r="P86" s="9">
        <f>IF(M86="Yes",SUMPRODUCT(--ISNUMBER(SEARCH({"(1)";"(2)";"(3)";"(4)";"(5)";"(6)";"(7)";"(8)";"(9)"},N86))),0)</f>
        <v>3</v>
      </c>
      <c r="Q86" s="9">
        <f t="shared" si="5"/>
        <v>6</v>
      </c>
    </row>
    <row r="87" spans="1:17" ht="60" customHeight="1" x14ac:dyDescent="0.35">
      <c r="A87" s="16" t="s">
        <v>58</v>
      </c>
      <c r="B87" s="4">
        <v>25</v>
      </c>
      <c r="C87" s="5" t="s">
        <v>21</v>
      </c>
      <c r="D87" s="6" t="s">
        <v>510</v>
      </c>
      <c r="E87" s="5" t="s">
        <v>21</v>
      </c>
      <c r="F87" s="6" t="s">
        <v>511</v>
      </c>
      <c r="G87" s="5" t="s">
        <v>21</v>
      </c>
      <c r="H87" s="6" t="s">
        <v>512</v>
      </c>
      <c r="I87" s="5" t="s">
        <v>19</v>
      </c>
      <c r="J87" s="6" t="s">
        <v>513</v>
      </c>
      <c r="K87" s="5" t="s">
        <v>19</v>
      </c>
      <c r="L87" s="6" t="s">
        <v>514</v>
      </c>
      <c r="M87" s="5" t="s">
        <v>19</v>
      </c>
      <c r="N87" s="6" t="s">
        <v>515</v>
      </c>
      <c r="O87" s="8">
        <f t="shared" si="4"/>
        <v>2</v>
      </c>
      <c r="P87" s="9">
        <f>IF(M87="Yes",SUMPRODUCT(--ISNUMBER(SEARCH({"(1)";"(2)";"(3)";"(4)";"(5)";"(6)";"(7)";"(8)";"(9)"},N87))),0)</f>
        <v>3</v>
      </c>
      <c r="Q87" s="9">
        <f t="shared" si="5"/>
        <v>5</v>
      </c>
    </row>
    <row r="88" spans="1:17" ht="60" customHeight="1" x14ac:dyDescent="0.35">
      <c r="A88" s="16" t="s">
        <v>58</v>
      </c>
      <c r="B88" s="10">
        <v>26</v>
      </c>
      <c r="C88" s="11" t="s">
        <v>19</v>
      </c>
      <c r="D88" s="12" t="s">
        <v>516</v>
      </c>
      <c r="E88" s="11" t="s">
        <v>21</v>
      </c>
      <c r="F88" s="12" t="s">
        <v>517</v>
      </c>
      <c r="G88" s="11" t="s">
        <v>19</v>
      </c>
      <c r="H88" s="12" t="s">
        <v>518</v>
      </c>
      <c r="I88" s="11" t="s">
        <v>21</v>
      </c>
      <c r="J88" s="12" t="s">
        <v>519</v>
      </c>
      <c r="K88" s="11" t="s">
        <v>19</v>
      </c>
      <c r="L88" s="12" t="s">
        <v>520</v>
      </c>
      <c r="M88" s="11" t="s">
        <v>19</v>
      </c>
      <c r="N88" s="12" t="s">
        <v>521</v>
      </c>
      <c r="O88" s="8">
        <f t="shared" si="4"/>
        <v>3</v>
      </c>
      <c r="P88" s="9">
        <f>IF(M88="Yes",SUMPRODUCT(--ISNUMBER(SEARCH({"(1)";"(2)";"(3)";"(4)";"(5)";"(6)";"(7)";"(8)";"(9)"},N88))),0)</f>
        <v>3</v>
      </c>
      <c r="Q88" s="9">
        <f t="shared" si="5"/>
        <v>6</v>
      </c>
    </row>
    <row r="89" spans="1:17" ht="60" customHeight="1" x14ac:dyDescent="0.35">
      <c r="A89" s="16" t="s">
        <v>58</v>
      </c>
      <c r="B89" s="4">
        <v>27</v>
      </c>
      <c r="C89" s="5" t="s">
        <v>19</v>
      </c>
      <c r="D89" s="6" t="s">
        <v>522</v>
      </c>
      <c r="E89" s="5" t="s">
        <v>19</v>
      </c>
      <c r="F89" s="6" t="s">
        <v>523</v>
      </c>
      <c r="G89" s="5" t="s">
        <v>21</v>
      </c>
      <c r="H89" s="6" t="s">
        <v>524</v>
      </c>
      <c r="I89" s="5" t="s">
        <v>19</v>
      </c>
      <c r="J89" s="6" t="s">
        <v>525</v>
      </c>
      <c r="K89" s="5" t="s">
        <v>19</v>
      </c>
      <c r="L89" s="6" t="s">
        <v>526</v>
      </c>
      <c r="M89" s="5" t="s">
        <v>19</v>
      </c>
      <c r="N89" s="6" t="s">
        <v>527</v>
      </c>
      <c r="O89" s="8">
        <f t="shared" si="4"/>
        <v>4</v>
      </c>
      <c r="P89" s="9">
        <f>IF(M89="Yes",SUMPRODUCT(--ISNUMBER(SEARCH({"(1)";"(2)";"(3)";"(4)";"(5)";"(6)";"(7)";"(8)";"(9)"},N89))),0)</f>
        <v>3</v>
      </c>
      <c r="Q89" s="9">
        <f t="shared" si="5"/>
        <v>7</v>
      </c>
    </row>
    <row r="90" spans="1:17" ht="60" customHeight="1" x14ac:dyDescent="0.35">
      <c r="A90" s="16" t="s">
        <v>58</v>
      </c>
      <c r="B90" s="10">
        <v>28</v>
      </c>
      <c r="C90" s="11" t="s">
        <v>19</v>
      </c>
      <c r="D90" s="12" t="s">
        <v>528</v>
      </c>
      <c r="E90" s="11" t="s">
        <v>21</v>
      </c>
      <c r="F90" s="12" t="s">
        <v>529</v>
      </c>
      <c r="G90" s="11" t="s">
        <v>21</v>
      </c>
      <c r="H90" s="12" t="s">
        <v>530</v>
      </c>
      <c r="I90" s="11" t="s">
        <v>19</v>
      </c>
      <c r="J90" s="12" t="s">
        <v>531</v>
      </c>
      <c r="K90" s="11" t="s">
        <v>19</v>
      </c>
      <c r="L90" s="12" t="s">
        <v>532</v>
      </c>
      <c r="M90" s="11" t="s">
        <v>19</v>
      </c>
      <c r="N90" s="12" t="s">
        <v>533</v>
      </c>
      <c r="O90" s="8">
        <f t="shared" si="4"/>
        <v>3</v>
      </c>
      <c r="P90" s="9">
        <f>IF(M90="Yes",SUMPRODUCT(--ISNUMBER(SEARCH({"(1)";"(2)";"(3)";"(4)";"(5)";"(6)";"(7)";"(8)";"(9)"},N90))),0)</f>
        <v>3</v>
      </c>
      <c r="Q90" s="9">
        <f t="shared" si="5"/>
        <v>6</v>
      </c>
    </row>
    <row r="91" spans="1:17" ht="60" customHeight="1" x14ac:dyDescent="0.35">
      <c r="A91" s="16" t="s">
        <v>58</v>
      </c>
      <c r="B91" s="4">
        <v>29</v>
      </c>
      <c r="C91" s="5" t="s">
        <v>21</v>
      </c>
      <c r="D91" s="6" t="s">
        <v>534</v>
      </c>
      <c r="E91" s="5" t="s">
        <v>19</v>
      </c>
      <c r="F91" s="6" t="s">
        <v>535</v>
      </c>
      <c r="G91" s="5" t="s">
        <v>19</v>
      </c>
      <c r="H91" s="6" t="s">
        <v>536</v>
      </c>
      <c r="I91" s="5" t="s">
        <v>19</v>
      </c>
      <c r="J91" s="6" t="s">
        <v>537</v>
      </c>
      <c r="K91" s="5" t="s">
        <v>19</v>
      </c>
      <c r="L91" s="6" t="s">
        <v>538</v>
      </c>
      <c r="M91" s="5" t="s">
        <v>19</v>
      </c>
      <c r="N91" s="6" t="s">
        <v>539</v>
      </c>
      <c r="O91" s="8">
        <f t="shared" si="4"/>
        <v>4</v>
      </c>
      <c r="P91" s="9">
        <f>IF(M91="Yes",SUMPRODUCT(--ISNUMBER(SEARCH({"(1)";"(2)";"(3)";"(4)";"(5)";"(6)";"(7)";"(8)";"(9)"},N91))),0)</f>
        <v>3</v>
      </c>
      <c r="Q91" s="9">
        <f t="shared" si="5"/>
        <v>7</v>
      </c>
    </row>
    <row r="92" spans="1:17" ht="60" customHeight="1" x14ac:dyDescent="0.35">
      <c r="A92" s="16" t="s">
        <v>58</v>
      </c>
      <c r="B92" s="10">
        <v>30</v>
      </c>
      <c r="C92" s="11" t="s">
        <v>19</v>
      </c>
      <c r="D92" s="12" t="s">
        <v>570</v>
      </c>
      <c r="E92" s="11" t="s">
        <v>21</v>
      </c>
      <c r="F92" s="12" t="s">
        <v>571</v>
      </c>
      <c r="G92" s="11" t="s">
        <v>19</v>
      </c>
      <c r="H92" s="12" t="s">
        <v>572</v>
      </c>
      <c r="I92" s="11" t="s">
        <v>21</v>
      </c>
      <c r="J92" s="12" t="s">
        <v>573</v>
      </c>
      <c r="K92" s="11" t="s">
        <v>19</v>
      </c>
      <c r="L92" s="12" t="s">
        <v>574</v>
      </c>
      <c r="M92" s="11" t="s">
        <v>19</v>
      </c>
      <c r="N92" s="12" t="s">
        <v>575</v>
      </c>
      <c r="O92" s="8">
        <f t="shared" si="4"/>
        <v>3</v>
      </c>
      <c r="P92" s="9">
        <f>IF(M92="Yes",SUMPRODUCT(--ISNUMBER(SEARCH({"(1)";"(2)";"(3)";"(4)";"(5)";"(6)";"(7)";"(8)";"(9)"},N92))),0)</f>
        <v>4</v>
      </c>
      <c r="Q92" s="9">
        <f t="shared" si="5"/>
        <v>7</v>
      </c>
    </row>
  </sheetData>
  <mergeCells count="1">
    <mergeCell ref="A1:Q1"/>
  </mergeCells>
  <conditionalFormatting sqref="C3:C92">
    <cfRule type="cellIs" dxfId="22" priority="2" operator="equal">
      <formula>"Yes"</formula>
    </cfRule>
    <cfRule type="cellIs" dxfId="21" priority="3" operator="equal">
      <formula>"No"</formula>
    </cfRule>
    <cfRule type="cellIs" dxfId="20" priority="4" operator="equal">
      <formula>"Partial"</formula>
    </cfRule>
  </conditionalFormatting>
  <conditionalFormatting sqref="E3:E92">
    <cfRule type="cellIs" dxfId="19" priority="5" operator="equal">
      <formula>"Yes"</formula>
    </cfRule>
    <cfRule type="cellIs" dxfId="18" priority="6" operator="equal">
      <formula>"No"</formula>
    </cfRule>
    <cfRule type="cellIs" dxfId="17" priority="7" operator="equal">
      <formula>"Partial"</formula>
    </cfRule>
  </conditionalFormatting>
  <conditionalFormatting sqref="G3:G92">
    <cfRule type="cellIs" dxfId="16" priority="8" operator="equal">
      <formula>"Yes"</formula>
    </cfRule>
    <cfRule type="cellIs" dxfId="15" priority="9" operator="equal">
      <formula>"No"</formula>
    </cfRule>
    <cfRule type="cellIs" dxfId="14" priority="10" operator="equal">
      <formula>"Partial"</formula>
    </cfRule>
  </conditionalFormatting>
  <conditionalFormatting sqref="I3:I92">
    <cfRule type="cellIs" dxfId="13" priority="11" operator="equal">
      <formula>"Yes"</formula>
    </cfRule>
    <cfRule type="cellIs" dxfId="12" priority="12" operator="equal">
      <formula>"No"</formula>
    </cfRule>
    <cfRule type="cellIs" dxfId="11" priority="13" operator="equal">
      <formula>"Partial"</formula>
    </cfRule>
  </conditionalFormatting>
  <conditionalFormatting sqref="K3:K92">
    <cfRule type="cellIs" dxfId="10" priority="14" operator="equal">
      <formula>"Yes"</formula>
    </cfRule>
    <cfRule type="cellIs" dxfId="9" priority="15" operator="equal">
      <formula>"No"</formula>
    </cfRule>
    <cfRule type="cellIs" dxfId="8" priority="16" operator="equal">
      <formula>"Partial"</formula>
    </cfRule>
  </conditionalFormatting>
  <conditionalFormatting sqref="M3:M92">
    <cfRule type="cellIs" dxfId="7" priority="17" operator="equal">
      <formula>"Yes"</formula>
    </cfRule>
    <cfRule type="cellIs" dxfId="6" priority="18" operator="equal">
      <formula>"No"</formula>
    </cfRule>
    <cfRule type="cellIs" dxfId="5" priority="19" operator="equal">
      <formula>"Partial"</formula>
    </cfRule>
  </conditionalFormatting>
  <conditionalFormatting sqref="Q3:Q92">
    <cfRule type="cellIs" dxfId="4" priority="20" operator="greaterThanOrEqual">
      <formula>4</formula>
    </cfRule>
    <cfRule type="cellIs" dxfId="3" priority="21" operator="between">
      <formula>1</formula>
      <formula>3</formula>
    </cfRule>
  </conditionalFormatting>
  <dataValidations count="1">
    <dataValidation type="list" allowBlank="1" errorTitle="Invalid Entry" error="Value must be Yes or No" sqref="C3:C92 E3:E92 G3:G92 I3:I92 K3:K92 M3:M92">
      <formula1>"Yes,No"</formula1>
      <formula2>0</formula2>
    </dataValidation>
  </dataValidation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zoomScaleNormal="100" workbookViewId="0">
      <selection activeCell="J8" sqref="J8"/>
    </sheetView>
  </sheetViews>
  <sheetFormatPr defaultColWidth="8.6328125" defaultRowHeight="14.5" x14ac:dyDescent="0.35"/>
  <cols>
    <col min="1" max="1" width="42" style="1" customWidth="1"/>
    <col min="2" max="7" width="11" style="1" customWidth="1"/>
    <col min="8" max="8" width="24" style="1" customWidth="1"/>
  </cols>
  <sheetData>
    <row r="1" spans="1:8" ht="31.5" customHeight="1" x14ac:dyDescent="0.35">
      <c r="A1" s="45" t="s">
        <v>65</v>
      </c>
      <c r="B1" s="45"/>
      <c r="C1" s="45"/>
      <c r="D1" s="45"/>
      <c r="E1" s="45"/>
      <c r="F1" s="45"/>
      <c r="G1" s="45"/>
      <c r="H1" s="45"/>
    </row>
    <row r="2" spans="1:8" ht="36" customHeight="1" x14ac:dyDescent="0.35">
      <c r="A2" s="2" t="s">
        <v>66</v>
      </c>
      <c r="B2" s="46" t="s">
        <v>18</v>
      </c>
      <c r="C2" s="46"/>
      <c r="D2" s="47" t="s">
        <v>51</v>
      </c>
      <c r="E2" s="47"/>
      <c r="F2" s="48" t="s">
        <v>58</v>
      </c>
      <c r="G2" s="48"/>
      <c r="H2" s="17" t="s">
        <v>67</v>
      </c>
    </row>
    <row r="3" spans="1:8" ht="21.75" customHeight="1" x14ac:dyDescent="0.35">
      <c r="A3" s="18"/>
      <c r="B3" s="19" t="s">
        <v>68</v>
      </c>
      <c r="C3" s="19" t="s">
        <v>69</v>
      </c>
      <c r="D3" s="20" t="s">
        <v>68</v>
      </c>
      <c r="E3" s="20" t="s">
        <v>69</v>
      </c>
      <c r="F3" s="21" t="s">
        <v>68</v>
      </c>
      <c r="G3" s="21" t="s">
        <v>69</v>
      </c>
      <c r="H3" s="18"/>
    </row>
    <row r="4" spans="1:8" ht="24" customHeight="1" x14ac:dyDescent="0.35">
      <c r="A4" s="22" t="s">
        <v>70</v>
      </c>
      <c r="B4" s="4">
        <f>COUNTIF('All Models'!C3:C32,"Yes")</f>
        <v>23</v>
      </c>
      <c r="C4" s="23">
        <f t="shared" ref="C4:C9" si="0">IFERROR(B4/30,0)</f>
        <v>0.76666666666666672</v>
      </c>
      <c r="D4" s="4">
        <f>COUNTIF('All Models'!C33:C62,"Yes")</f>
        <v>16</v>
      </c>
      <c r="E4" s="23">
        <f t="shared" ref="E4:E9" si="1">IFERROR(D4/30,0)</f>
        <v>0.53333333333333333</v>
      </c>
      <c r="F4" s="4">
        <f>COUNTIF('All Models'!C63:C92,"Yes")</f>
        <v>17</v>
      </c>
      <c r="G4" s="23">
        <f t="shared" ref="G4:G9" si="2">IFERROR(F4/30,0)</f>
        <v>0.56666666666666665</v>
      </c>
      <c r="H4" s="4" t="str">
        <f t="shared" ref="H4:H10" si="3">IF(AND(B4&gt;=D4,B4&gt;=F4),"ChatGPT 5.5",IF(AND(D4&gt;=B4,D4&gt;=F4),"Claude Sonnet 4.6","Gemini 3.1 Pro"))</f>
        <v>ChatGPT 5.5</v>
      </c>
    </row>
    <row r="5" spans="1:8" ht="24" customHeight="1" x14ac:dyDescent="0.35">
      <c r="A5" s="24" t="s">
        <v>71</v>
      </c>
      <c r="B5" s="10">
        <f>COUNTIF('All Models'!E3:E32,"Yes")</f>
        <v>1</v>
      </c>
      <c r="C5" s="25">
        <f t="shared" si="0"/>
        <v>3.3333333333333333E-2</v>
      </c>
      <c r="D5" s="10">
        <f>COUNTIF('All Models'!E33:E62,"Yes")</f>
        <v>3</v>
      </c>
      <c r="E5" s="25">
        <f t="shared" si="1"/>
        <v>0.1</v>
      </c>
      <c r="F5" s="10">
        <f>COUNTIF('All Models'!E63:E92,"Yes")</f>
        <v>11</v>
      </c>
      <c r="G5" s="25">
        <f t="shared" si="2"/>
        <v>0.36666666666666664</v>
      </c>
      <c r="H5" s="10" t="str">
        <f t="shared" si="3"/>
        <v>Gemini 3.1 Pro</v>
      </c>
    </row>
    <row r="6" spans="1:8" ht="24" customHeight="1" x14ac:dyDescent="0.35">
      <c r="A6" s="22" t="s">
        <v>72</v>
      </c>
      <c r="B6" s="4">
        <f>COUNTIF('All Models'!G3:G32,"Yes")</f>
        <v>9</v>
      </c>
      <c r="C6" s="23">
        <f t="shared" si="0"/>
        <v>0.3</v>
      </c>
      <c r="D6" s="4">
        <f>COUNTIF('All Models'!G33:G62,"Yes")</f>
        <v>1</v>
      </c>
      <c r="E6" s="23">
        <f t="shared" si="1"/>
        <v>3.3333333333333333E-2</v>
      </c>
      <c r="F6" s="4">
        <f>COUNTIF('All Models'!G63:G92,"Yes")</f>
        <v>21</v>
      </c>
      <c r="G6" s="23">
        <f t="shared" si="2"/>
        <v>0.7</v>
      </c>
      <c r="H6" s="4" t="str">
        <f t="shared" si="3"/>
        <v>Gemini 3.1 Pro</v>
      </c>
    </row>
    <row r="7" spans="1:8" ht="24" customHeight="1" x14ac:dyDescent="0.35">
      <c r="A7" s="24" t="s">
        <v>73</v>
      </c>
      <c r="B7" s="10">
        <f>COUNTIF('All Models'!I3:I32,"Yes")</f>
        <v>26</v>
      </c>
      <c r="C7" s="25">
        <f t="shared" si="0"/>
        <v>0.8666666666666667</v>
      </c>
      <c r="D7" s="10">
        <f>COUNTIF('All Models'!I33:I62,"Yes")</f>
        <v>2</v>
      </c>
      <c r="E7" s="25">
        <f t="shared" si="1"/>
        <v>6.6666666666666666E-2</v>
      </c>
      <c r="F7" s="10">
        <f>COUNTIF('All Models'!I63:I92,"Yes")</f>
        <v>20</v>
      </c>
      <c r="G7" s="25">
        <f t="shared" si="2"/>
        <v>0.66666666666666663</v>
      </c>
      <c r="H7" s="10" t="str">
        <f t="shared" si="3"/>
        <v>ChatGPT 5.5</v>
      </c>
    </row>
    <row r="8" spans="1:8" ht="24" customHeight="1" x14ac:dyDescent="0.35">
      <c r="A8" s="22" t="s">
        <v>74</v>
      </c>
      <c r="B8" s="4">
        <f>COUNTIF('All Models'!K3:K32,"Yes")</f>
        <v>30</v>
      </c>
      <c r="C8" s="23">
        <f t="shared" si="0"/>
        <v>1</v>
      </c>
      <c r="D8" s="4">
        <f>COUNTIF('All Models'!K33:K62,"Yes")</f>
        <v>30</v>
      </c>
      <c r="E8" s="23">
        <f t="shared" si="1"/>
        <v>1</v>
      </c>
      <c r="F8" s="4">
        <f>COUNTIF('All Models'!K63:K92,"Yes")</f>
        <v>29</v>
      </c>
      <c r="G8" s="23">
        <f t="shared" si="2"/>
        <v>0.96666666666666667</v>
      </c>
      <c r="H8" s="4" t="str">
        <f t="shared" si="3"/>
        <v>ChatGPT 5.5</v>
      </c>
    </row>
    <row r="9" spans="1:8" ht="24" customHeight="1" x14ac:dyDescent="0.35">
      <c r="A9" s="24" t="s">
        <v>75</v>
      </c>
      <c r="B9" s="10">
        <f>COUNTIF('All Models'!M3:M32,"Yes")</f>
        <v>30</v>
      </c>
      <c r="C9" s="25">
        <f t="shared" si="0"/>
        <v>1</v>
      </c>
      <c r="D9" s="10">
        <f>COUNTIF('All Models'!M33:M62,"Yes")</f>
        <v>30</v>
      </c>
      <c r="E9" s="25">
        <f t="shared" si="1"/>
        <v>1</v>
      </c>
      <c r="F9" s="10">
        <f>COUNTIF('All Models'!M63:M92,"Yes")</f>
        <v>30</v>
      </c>
      <c r="G9" s="25">
        <f t="shared" si="2"/>
        <v>1</v>
      </c>
      <c r="H9" s="10" t="str">
        <f t="shared" si="3"/>
        <v>ChatGPT 5.5</v>
      </c>
    </row>
    <row r="10" spans="1:8" ht="25.5" customHeight="1" x14ac:dyDescent="0.35">
      <c r="A10" s="26" t="s">
        <v>76</v>
      </c>
      <c r="B10" s="27">
        <f>IFERROR(SUM('All Models'!Q3:Q32)/30,0)</f>
        <v>6.9333333333333336</v>
      </c>
      <c r="C10" s="28"/>
      <c r="D10" s="27">
        <f>IFERROR(SUM('All Models'!Q33:Q62)/30,0)</f>
        <v>5.6333333333333337</v>
      </c>
      <c r="E10" s="28"/>
      <c r="F10" s="27">
        <f>IFERROR(SUM('All Models'!Q63:Q92)/30,0)</f>
        <v>6.0333333333333332</v>
      </c>
      <c r="G10" s="28"/>
      <c r="H10" s="29" t="str">
        <f t="shared" si="3"/>
        <v>ChatGPT 5.5</v>
      </c>
    </row>
    <row r="11" spans="1:8" ht="24" customHeight="1" x14ac:dyDescent="0.35">
      <c r="A11" s="22" t="s">
        <v>77</v>
      </c>
      <c r="B11" s="9">
        <f>COUNTIF('All Models'!Q3:Q32,"&gt;0")</f>
        <v>30</v>
      </c>
      <c r="C11" s="9"/>
      <c r="D11" s="9">
        <f>COUNTIF('All Models'!Q33:Q62,"&gt;0")</f>
        <v>30</v>
      </c>
      <c r="E11" s="9"/>
      <c r="F11" s="9">
        <f>COUNTIF('All Models'!Q63:Q92,"&gt;0")</f>
        <v>30</v>
      </c>
      <c r="G11" s="9"/>
      <c r="H11" s="5" t="s">
        <v>78</v>
      </c>
    </row>
    <row r="12" spans="1:8" ht="24" customHeight="1" x14ac:dyDescent="0.35">
      <c r="A12" s="24" t="s">
        <v>79</v>
      </c>
      <c r="B12" s="30">
        <f>IFERROR(AVERAGE('All Models'!P3:P32),0)</f>
        <v>3.9666666666666668</v>
      </c>
      <c r="C12" s="10"/>
      <c r="D12" s="30">
        <f>IFERROR(AVERAGE('All Models'!P33:P62),0)</f>
        <v>3.9</v>
      </c>
      <c r="E12" s="10"/>
      <c r="F12" s="30">
        <f>IFERROR(AVERAGE('All Models'!P63:P92),0)</f>
        <v>2.7666666666666666</v>
      </c>
      <c r="G12" s="10"/>
      <c r="H12" s="10" t="str">
        <f>IF(AND(B12&gt;=D12,B12&gt;=F12),"ChatGPT 5.5",IF(AND(D12&gt;=B12,D12&gt;=F12),"Claude Sonnet 4.6","Gemini 3.1 Pro"))</f>
        <v>ChatGPT 5.5</v>
      </c>
    </row>
    <row r="13" spans="1:8" ht="14.25" customHeight="1" x14ac:dyDescent="0.35">
      <c r="A13" s="22" t="s">
        <v>80</v>
      </c>
      <c r="B13" s="4">
        <f>SUMPRODUCT(--((('All Models'!C3:C32="Yes")+('All Models'!E3:E32="Yes")+('All Models'!G3:G32="Yes")+('All Models'!I3:I32="Yes")+('All Models'!K3:K32="Yes"))&gt;0))</f>
        <v>30</v>
      </c>
      <c r="C13" s="23">
        <f>IFERROR(B13/30,0)</f>
        <v>1</v>
      </c>
      <c r="D13" s="4">
        <f>SUMPRODUCT(--((('All Models'!C33:C62="Yes")+('All Models'!E33:E62="Yes")+('All Models'!G33:G62="Yes")+('All Models'!I33:I62="Yes")+('All Models'!K33:K62="Yes"))&gt;0))</f>
        <v>30</v>
      </c>
      <c r="E13" s="23">
        <f>IFERROR(D13/30,0)</f>
        <v>1</v>
      </c>
      <c r="F13" s="4">
        <f>SUMPRODUCT(--((('All Models'!C63:C92="Yes")+('All Models'!E63:E92="Yes")+('All Models'!G63:G92="Yes")+('All Models'!I63:I92="Yes")+('All Models'!K63:K92="Yes"))&gt;0))</f>
        <v>30</v>
      </c>
      <c r="G13" s="23">
        <f>IFERROR(F13/30,0)</f>
        <v>1</v>
      </c>
      <c r="H13" s="4" t="str">
        <f>IF(AND(B13&gt;=D13,B13&gt;=F13),"ChatGPT 5.5",IF(AND(D13&gt;=B13,D13&gt;=F13),"Claude Sonnet 4.6","Gemini 3.1 Pro"))</f>
        <v>ChatGPT 5.5</v>
      </c>
    </row>
    <row r="14" spans="1:8" ht="14.25" customHeight="1" x14ac:dyDescent="0.35">
      <c r="A14" s="26" t="s">
        <v>81</v>
      </c>
      <c r="B14" s="27">
        <f>IFERROR(AVERAGEIF('All Models'!M3:M32,"&lt;&gt;",'All Models'!O3:O32),0)</f>
        <v>2.9666666666666668</v>
      </c>
      <c r="C14" s="28"/>
      <c r="D14" s="27">
        <f>IFERROR(AVERAGEIF('All Models'!M33:M62,"&lt;&gt;",'All Models'!O33:O62),0)</f>
        <v>1.7333333333333334</v>
      </c>
      <c r="E14" s="28"/>
      <c r="F14" s="27">
        <f>IFERROR(AVERAGEIF('All Models'!M63:M92,"&lt;&gt;",'All Models'!O63:O92),0)</f>
        <v>3.2666666666666666</v>
      </c>
      <c r="G14" s="28"/>
      <c r="H14" s="29" t="str">
        <f>IF(AND(B14&gt;=D14,B14&gt;=F14),"ChatGPT 5.5",IF(AND(D14&gt;=B14,D14&gt;=F14),"Claude Sonnet 4.6","Gemini 3.1 Pro"))</f>
        <v>Gemini 3.1 Pro</v>
      </c>
    </row>
    <row r="15" spans="1:8" ht="26" x14ac:dyDescent="0.35">
      <c r="A15" s="42" t="s">
        <v>82</v>
      </c>
      <c r="B15" s="23">
        <f>IFERROR((COUNTIF('All Models'!C3:C32,"Yes")+COUNTIF('All Models'!E3:E32,"Yes")+COUNTIF('All Models'!G3:G32,"Yes")+COUNTIF('All Models'!I3:I32,"Yes")+COUNTIF('All Models'!K3:K32,"Yes"))/(5*COUNTIF('All Models'!M3:M32,"&lt;&gt;")),0)</f>
        <v>0.59333333333333338</v>
      </c>
      <c r="C15" s="23"/>
      <c r="D15" s="23">
        <f>IFERROR((COUNTIF('All Models'!C33:C62,"Yes")+COUNTIF('All Models'!E33:E62,"Yes")+COUNTIF('All Models'!G33:G62,"Yes")+COUNTIF('All Models'!I33:I62,"Yes")+COUNTIF('All Models'!K33:K62,"Yes"))/(5*COUNTIF('All Models'!M33:M62,"&lt;&gt;")),0)</f>
        <v>0.34666666666666668</v>
      </c>
      <c r="E15" s="23"/>
      <c r="F15" s="23">
        <f>IFERROR((COUNTIF('All Models'!C63:C92,"Yes")+COUNTIF('All Models'!E63:E92,"Yes")+COUNTIF('All Models'!G63:G92,"Yes")+COUNTIF('All Models'!I63:I92,"Yes")+COUNTIF('All Models'!K63:K92,"Yes"))/(5*COUNTIF('All Models'!M63:M92,"&lt;&gt;")),0)</f>
        <v>0.65333333333333332</v>
      </c>
      <c r="G15" s="23"/>
      <c r="H15" s="4" t="str">
        <f>IF(AND(B15&gt;=D15,B15&gt;=F15),"ChatGPT 5.5",IF(AND(D15&gt;=B15,D15&gt;=F15),"Claude Sonnet 4.6","Gemini 3.1 Pro"))</f>
        <v>Gemini 3.1 Pro</v>
      </c>
    </row>
  </sheetData>
  <mergeCells count="4">
    <mergeCell ref="A1:H1"/>
    <mergeCell ref="B2:C2"/>
    <mergeCell ref="D2:E2"/>
    <mergeCell ref="F2:G2"/>
  </mergeCells>
  <conditionalFormatting sqref="H4:H12">
    <cfRule type="cellIs" dxfId="2" priority="2" operator="equal">
      <formula>"ChatGPT 5.5"</formula>
    </cfRule>
    <cfRule type="cellIs" dxfId="1" priority="3" operator="equal">
      <formula>"Claude Sonnet 4.5"</formula>
    </cfRule>
    <cfRule type="cellIs" dxfId="0" priority="4" operator="equal">
      <formula>"Gemini 3.1 Pro"</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zoomScaleNormal="100" workbookViewId="0">
      <selection activeCell="C13" sqref="C13"/>
    </sheetView>
  </sheetViews>
  <sheetFormatPr defaultColWidth="8.6328125" defaultRowHeight="14.5" x14ac:dyDescent="0.35"/>
  <cols>
    <col min="1" max="1" width="22" style="1" customWidth="1"/>
    <col min="2" max="4" width="18" style="1" customWidth="1"/>
    <col min="5" max="5" width="4" style="1" customWidth="1"/>
  </cols>
  <sheetData>
    <row r="1" spans="1:5" ht="31.5" customHeight="1" x14ac:dyDescent="0.35">
      <c r="A1" s="45" t="s">
        <v>83</v>
      </c>
      <c r="B1" s="45"/>
      <c r="C1" s="45"/>
      <c r="D1" s="45"/>
      <c r="E1" s="45"/>
    </row>
    <row r="3" spans="1:5" ht="31.5" customHeight="1" x14ac:dyDescent="0.35">
      <c r="A3" s="2" t="s">
        <v>84</v>
      </c>
      <c r="B3" s="31" t="s">
        <v>18</v>
      </c>
      <c r="C3" s="32" t="s">
        <v>51</v>
      </c>
      <c r="D3" s="33" t="s">
        <v>58</v>
      </c>
    </row>
    <row r="4" spans="1:5" ht="21.75" customHeight="1" x14ac:dyDescent="0.35">
      <c r="A4" s="34" t="s">
        <v>85</v>
      </c>
      <c r="B4" s="35">
        <f>IFERROR(COUNTIF('All Models'!C3:C32,"Yes")/30,0)</f>
        <v>0.76666666666666672</v>
      </c>
      <c r="C4" s="35">
        <f>IFERROR(COUNTIF('All Models'!C33:C62,"Yes")/30,0)</f>
        <v>0.53333333333333333</v>
      </c>
      <c r="D4" s="35">
        <f>IFERROR(COUNTIF('All Models'!C63:C92,"Yes")/30,0)</f>
        <v>0.56666666666666665</v>
      </c>
    </row>
    <row r="5" spans="1:5" ht="21.75" customHeight="1" x14ac:dyDescent="0.35">
      <c r="A5" s="36" t="s">
        <v>86</v>
      </c>
      <c r="B5" s="37">
        <f>IFERROR(COUNTIF('All Models'!E3:E32,"Yes")/30,0)</f>
        <v>3.3333333333333333E-2</v>
      </c>
      <c r="C5" s="37">
        <f>IFERROR(COUNTIF('All Models'!E33:E62,"Yes")/30,0)</f>
        <v>0.1</v>
      </c>
      <c r="D5" s="37">
        <f>IFERROR(COUNTIF('All Models'!E63:E92,"Yes")/30,0)</f>
        <v>0.36666666666666664</v>
      </c>
    </row>
    <row r="6" spans="1:5" ht="21.75" customHeight="1" x14ac:dyDescent="0.35">
      <c r="A6" s="34" t="s">
        <v>87</v>
      </c>
      <c r="B6" s="35">
        <f>IFERROR(COUNTIF('All Models'!G3:G32,"Yes")/30,0)</f>
        <v>0.3</v>
      </c>
      <c r="C6" s="35">
        <f>IFERROR(COUNTIF('All Models'!G33:G62,"Yes")/30,0)</f>
        <v>3.3333333333333333E-2</v>
      </c>
      <c r="D6" s="35">
        <f>IFERROR(COUNTIF('All Models'!G63:G92,"Yes")/30,0)</f>
        <v>0.7</v>
      </c>
    </row>
    <row r="7" spans="1:5" ht="21.75" customHeight="1" x14ac:dyDescent="0.35">
      <c r="A7" s="36" t="s">
        <v>88</v>
      </c>
      <c r="B7" s="37">
        <f>IFERROR(COUNTIF('All Models'!I3:I32,"Yes")/30,0)</f>
        <v>0.8666666666666667</v>
      </c>
      <c r="C7" s="37">
        <f>IFERROR(COUNTIF('All Models'!I33:I62,"Yes")/30,0)</f>
        <v>6.6666666666666666E-2</v>
      </c>
      <c r="D7" s="37">
        <f>IFERROR(COUNTIF('All Models'!I63:I92,"Yes")/30,0)</f>
        <v>0.66666666666666663</v>
      </c>
    </row>
    <row r="8" spans="1:5" ht="21.75" customHeight="1" x14ac:dyDescent="0.35">
      <c r="A8" s="34" t="s">
        <v>89</v>
      </c>
      <c r="B8" s="35">
        <f>IFERROR(COUNTIF('All Models'!K3:K32,"Yes")/30,0)</f>
        <v>1</v>
      </c>
      <c r="C8" s="35">
        <f>IFERROR(COUNTIF('All Models'!K33:K62,"Yes")/30,0)</f>
        <v>1</v>
      </c>
      <c r="D8" s="35">
        <f>IFERROR(COUNTIF('All Models'!K63:K92,"Yes")/30,0)</f>
        <v>0.96666666666666667</v>
      </c>
    </row>
    <row r="9" spans="1:5" ht="21.75" customHeight="1" x14ac:dyDescent="0.35">
      <c r="A9" s="36" t="s">
        <v>90</v>
      </c>
      <c r="B9" s="37">
        <f>IFERROR(COUNTIF('All Models'!M3:M32,"Yes")/30,0)</f>
        <v>1</v>
      </c>
      <c r="C9" s="37">
        <f>IFERROR(COUNTIF('All Models'!M33:M62,"Yes")/30,0)</f>
        <v>1</v>
      </c>
      <c r="D9" s="37">
        <f>IFERROR(COUNTIF('All Models'!M63:M92,"Yes")/30,0)</f>
        <v>1</v>
      </c>
    </row>
  </sheetData>
  <mergeCells count="1">
    <mergeCell ref="A1:E1"/>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7"/>
  <sheetViews>
    <sheetView showGridLines="0" tabSelected="1" topLeftCell="A2" zoomScaleNormal="100" workbookViewId="0">
      <selection activeCell="A16" sqref="A16"/>
    </sheetView>
  </sheetViews>
  <sheetFormatPr defaultColWidth="8.6328125" defaultRowHeight="14.5" x14ac:dyDescent="0.35"/>
  <cols>
    <col min="1" max="1" width="100" style="1" customWidth="1"/>
  </cols>
  <sheetData>
    <row r="1" spans="1:1" ht="31.5" customHeight="1" x14ac:dyDescent="0.35">
      <c r="A1" s="38" t="s">
        <v>91</v>
      </c>
    </row>
    <row r="2" spans="1:1" ht="14.25" customHeight="1" x14ac:dyDescent="0.35">
      <c r="A2" s="39"/>
    </row>
    <row r="3" spans="1:1" ht="24" customHeight="1" x14ac:dyDescent="0.35">
      <c r="A3" s="40" t="s">
        <v>92</v>
      </c>
    </row>
    <row r="4" spans="1:1" ht="24.75" customHeight="1" x14ac:dyDescent="0.35">
      <c r="A4" s="41" t="s">
        <v>93</v>
      </c>
    </row>
    <row r="5" spans="1:1" ht="14.25" customHeight="1" x14ac:dyDescent="0.35">
      <c r="A5" s="39"/>
    </row>
    <row r="6" spans="1:1" ht="24" customHeight="1" x14ac:dyDescent="0.35">
      <c r="A6" s="40" t="s">
        <v>94</v>
      </c>
    </row>
    <row r="7" spans="1:1" ht="14.25" customHeight="1" x14ac:dyDescent="0.35">
      <c r="A7" s="41" t="s">
        <v>95</v>
      </c>
    </row>
    <row r="8" spans="1:1" ht="14.25" customHeight="1" x14ac:dyDescent="0.35">
      <c r="A8" s="41" t="s">
        <v>96</v>
      </c>
    </row>
    <row r="9" spans="1:1" ht="14.25" customHeight="1" x14ac:dyDescent="0.35">
      <c r="A9" s="41" t="s">
        <v>97</v>
      </c>
    </row>
    <row r="10" spans="1:1" ht="14.25" customHeight="1" x14ac:dyDescent="0.35">
      <c r="A10" s="41" t="s">
        <v>98</v>
      </c>
    </row>
    <row r="11" spans="1:1" ht="14.25" customHeight="1" x14ac:dyDescent="0.35">
      <c r="A11" s="39"/>
    </row>
    <row r="12" spans="1:1" ht="24" customHeight="1" x14ac:dyDescent="0.35">
      <c r="A12" s="40"/>
    </row>
    <row r="13" spans="1:1" ht="14.25" customHeight="1" x14ac:dyDescent="0.35">
      <c r="A13" s="41"/>
    </row>
    <row r="14" spans="1:1" ht="14.25" customHeight="1" x14ac:dyDescent="0.35">
      <c r="A14" s="41"/>
    </row>
    <row r="15" spans="1:1" ht="14.25" customHeight="1" x14ac:dyDescent="0.35">
      <c r="A15" s="41"/>
    </row>
    <row r="16" spans="1:1" ht="14.25" customHeight="1" x14ac:dyDescent="0.35">
      <c r="A16" s="41"/>
    </row>
    <row r="17" spans="1:1" ht="14.25" customHeight="1" x14ac:dyDescent="0.35">
      <c r="A17" s="41"/>
    </row>
    <row r="18" spans="1:1" ht="14.25" customHeight="1" x14ac:dyDescent="0.35">
      <c r="A18" s="41"/>
    </row>
    <row r="19" spans="1:1" ht="14.25" customHeight="1" x14ac:dyDescent="0.35">
      <c r="A19" s="39"/>
    </row>
    <row r="20" spans="1:1" ht="24" customHeight="1" x14ac:dyDescent="0.35">
      <c r="A20" s="40"/>
    </row>
    <row r="21" spans="1:1" ht="14.25" customHeight="1" x14ac:dyDescent="0.35">
      <c r="A21" s="41"/>
    </row>
    <row r="22" spans="1:1" ht="14.25" customHeight="1" x14ac:dyDescent="0.35">
      <c r="A22" s="41"/>
    </row>
    <row r="23" spans="1:1" ht="14.25" customHeight="1" x14ac:dyDescent="0.35">
      <c r="A23" s="41"/>
    </row>
    <row r="24" spans="1:1" ht="14.25" customHeight="1" x14ac:dyDescent="0.35">
      <c r="A24" s="41"/>
    </row>
    <row r="25" spans="1:1" ht="14.25" customHeight="1" x14ac:dyDescent="0.35">
      <c r="A25" s="41"/>
    </row>
    <row r="26" spans="1:1" ht="14.25" customHeight="1" x14ac:dyDescent="0.35">
      <c r="A26" s="41"/>
    </row>
    <row r="27" spans="1:1" ht="14.25" customHeight="1" x14ac:dyDescent="0.35">
      <c r="A27" s="39"/>
    </row>
    <row r="28" spans="1:1" ht="24" customHeight="1" x14ac:dyDescent="0.35">
      <c r="A28" s="40" t="s">
        <v>99</v>
      </c>
    </row>
    <row r="29" spans="1:1" ht="14.25" customHeight="1" x14ac:dyDescent="0.35">
      <c r="A29" s="41" t="s">
        <v>100</v>
      </c>
    </row>
    <row r="30" spans="1:1" ht="14.25" customHeight="1" x14ac:dyDescent="0.35">
      <c r="A30" s="41" t="s">
        <v>101</v>
      </c>
    </row>
    <row r="31" spans="1:1" ht="14.25" customHeight="1" x14ac:dyDescent="0.35">
      <c r="A31" s="41" t="s">
        <v>102</v>
      </c>
    </row>
    <row r="32" spans="1:1" ht="14.25" customHeight="1" x14ac:dyDescent="0.35">
      <c r="A32" s="1" t="s">
        <v>103</v>
      </c>
    </row>
    <row r="34" spans="1:1" ht="14.25" customHeight="1" x14ac:dyDescent="0.35">
      <c r="A34" s="1" t="s">
        <v>104</v>
      </c>
    </row>
    <row r="35" spans="1:1" ht="14.25" customHeight="1" x14ac:dyDescent="0.35">
      <c r="A35" s="1" t="s">
        <v>105</v>
      </c>
    </row>
    <row r="36" spans="1:1" ht="14.25" customHeight="1" x14ac:dyDescent="0.35">
      <c r="A36" s="1" t="s">
        <v>106</v>
      </c>
    </row>
    <row r="37" spans="1:1" ht="14.25" customHeight="1" x14ac:dyDescent="0.35">
      <c r="A37" s="1" t="s">
        <v>107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 Models</vt:lpstr>
      <vt:lpstr>Comparison Summary</vt:lpstr>
      <vt:lpstr>Charts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Rafiul Jowarder</cp:lastModifiedBy>
  <cp:revision>33</cp:revision>
  <dcterms:created xsi:type="dcterms:W3CDTF">2026-05-19T23:09:02Z</dcterms:created>
  <dcterms:modified xsi:type="dcterms:W3CDTF">2026-06-27T01:02:49Z</dcterms:modified>
  <dc:language>en-US</dc:language>
</cp:coreProperties>
</file>